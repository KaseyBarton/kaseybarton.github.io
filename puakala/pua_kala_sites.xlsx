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4355" windowHeight="11310"/>
  </bookViews>
  <sheets>
    <sheet name="Pua Kala sites" sheetId="4" r:id="rId1"/>
    <sheet name="Big Island plots" sheetId="5" r:id="rId2"/>
    <sheet name="Maui County plots" sheetId="6" r:id="rId3"/>
    <sheet name="Oahu plots" sheetId="7" r:id="rId4"/>
    <sheet name="Statewide plots" sheetId="8" r:id="rId5"/>
  </sheets>
  <externalReferences>
    <externalReference r:id="rId6"/>
  </externalReferences>
  <calcPr calcId="125725"/>
</workbook>
</file>

<file path=xl/calcChain.xml><?xml version="1.0" encoding="utf-8"?>
<calcChain xmlns="http://schemas.openxmlformats.org/spreadsheetml/2006/main">
  <c r="H3" i="4"/>
  <c r="H4"/>
  <c r="H5"/>
  <c r="H6"/>
  <c r="H7"/>
  <c r="H8"/>
  <c r="H9"/>
  <c r="H10"/>
  <c r="H11"/>
  <c r="H12"/>
  <c r="H13"/>
  <c r="H14"/>
  <c r="H15"/>
  <c r="H2"/>
</calcChain>
</file>

<file path=xl/sharedStrings.xml><?xml version="1.0" encoding="utf-8"?>
<sst xmlns="http://schemas.openxmlformats.org/spreadsheetml/2006/main" count="114" uniqueCount="70">
  <si>
    <t>Island</t>
  </si>
  <si>
    <t>Site</t>
  </si>
  <si>
    <t>Oahu</t>
  </si>
  <si>
    <t>Koko Crater Botanical Garden</t>
  </si>
  <si>
    <t>no</t>
  </si>
  <si>
    <t>IDs</t>
  </si>
  <si>
    <t>yes</t>
  </si>
  <si>
    <t>MO17-MO28</t>
  </si>
  <si>
    <t>Molokai</t>
  </si>
  <si>
    <t>M29-M42</t>
  </si>
  <si>
    <t>Maui Nui Botanical Garden</t>
  </si>
  <si>
    <t>M43-M45</t>
  </si>
  <si>
    <t>B46-B50</t>
  </si>
  <si>
    <t>Kona side</t>
  </si>
  <si>
    <t>O70-O78</t>
  </si>
  <si>
    <t>Ka'ena Pt</t>
  </si>
  <si>
    <t>L79</t>
  </si>
  <si>
    <t>B80</t>
  </si>
  <si>
    <t>Waimea</t>
  </si>
  <si>
    <t>B82-B91</t>
  </si>
  <si>
    <t>Pu'ukohala Heiau National Historic Site</t>
  </si>
  <si>
    <t>B81, B92-B93</t>
  </si>
  <si>
    <t>B94-B100</t>
  </si>
  <si>
    <t>B101-B108</t>
  </si>
  <si>
    <t>Amy Greenwell Botanical Garden</t>
  </si>
  <si>
    <t>B109</t>
  </si>
  <si>
    <t>B110</t>
  </si>
  <si>
    <t>unknown</t>
  </si>
  <si>
    <t>Collection Date</t>
  </si>
  <si>
    <t>Collector</t>
  </si>
  <si>
    <t>Seeds (Y/N)</t>
  </si>
  <si>
    <t>Morden</t>
  </si>
  <si>
    <t>Gibson</t>
  </si>
  <si>
    <t>Barton</t>
  </si>
  <si>
    <t>Coleman</t>
  </si>
  <si>
    <t>Mopuka/Mokio Pt.</t>
  </si>
  <si>
    <t>Bakutis</t>
  </si>
  <si>
    <t>Mo111-Mo119</t>
  </si>
  <si>
    <t>Big Island</t>
  </si>
  <si>
    <t>2013-08</t>
  </si>
  <si>
    <t>Latitude</t>
  </si>
  <si>
    <t>Longitude</t>
  </si>
  <si>
    <t>GPS = 682130, 2347306… units?</t>
  </si>
  <si>
    <t># Plants</t>
  </si>
  <si>
    <t>BI6-BI16</t>
  </si>
  <si>
    <t>O1-O5</t>
  </si>
  <si>
    <t>Morden Lab</t>
  </si>
  <si>
    <t>Mean Prickle Density (1 Standard Error) (per cm2)</t>
  </si>
  <si>
    <t>Saddle Rd: site 2</t>
  </si>
  <si>
    <t>Saddle Rd: site 3</t>
  </si>
  <si>
    <t>Saddle Rd: site 4</t>
  </si>
  <si>
    <t>Saddle Rd: site 1</t>
  </si>
  <si>
    <t>Elevation (m)</t>
  </si>
  <si>
    <t>Elevation (ft)</t>
  </si>
  <si>
    <t>Annual Rainfall (inches)</t>
  </si>
  <si>
    <t>Geologic Age (1=young, 14=old)</t>
  </si>
  <si>
    <t>Geological Age (midrange)(years)</t>
  </si>
  <si>
    <t>Geological Age (years)</t>
  </si>
  <si>
    <t>Mauna Kea</t>
  </si>
  <si>
    <t>5-10 k</t>
  </si>
  <si>
    <t>10-30 k</t>
  </si>
  <si>
    <t>50-140 k</t>
  </si>
  <si>
    <t>1-2 M</t>
  </si>
  <si>
    <t>2-4 M</t>
  </si>
  <si>
    <t>mixed</t>
  </si>
  <si>
    <t>Mean Prickle Density (per cm2)</t>
  </si>
  <si>
    <t>Unknown Locations:</t>
  </si>
  <si>
    <t>Molokai roadside</t>
  </si>
  <si>
    <t>Lanai roadside</t>
  </si>
  <si>
    <t>Maui County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</si>
</sst>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00000"/>
    <numFmt numFmtId="166" formatCode="0.000"/>
  </numFmts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 applyAlignment="1">
      <alignment horizontal="left"/>
    </xf>
    <xf numFmtId="165" fontId="3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/>
    <xf numFmtId="164" fontId="2" fillId="3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0" fontId="2" fillId="6" borderId="0" xfId="0" applyFont="1" applyFill="1"/>
    <xf numFmtId="164" fontId="2" fillId="6" borderId="0" xfId="0" applyNumberFormat="1" applyFont="1" applyFill="1" applyAlignment="1">
      <alignment horizontal="left"/>
    </xf>
    <xf numFmtId="165" fontId="2" fillId="6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5" borderId="0" xfId="0" applyFont="1" applyFill="1"/>
    <xf numFmtId="164" fontId="2" fillId="5" borderId="0" xfId="0" applyNumberFormat="1" applyFont="1" applyFill="1" applyAlignment="1">
      <alignment horizontal="left"/>
    </xf>
    <xf numFmtId="165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4" borderId="0" xfId="0" applyFont="1" applyFill="1"/>
    <xf numFmtId="14" fontId="2" fillId="4" borderId="0" xfId="0" applyNumberFormat="1" applyFont="1" applyFill="1"/>
    <xf numFmtId="164" fontId="2" fillId="4" borderId="0" xfId="0" applyNumberFormat="1" applyFont="1" applyFill="1" applyAlignment="1">
      <alignment horizontal="left"/>
    </xf>
    <xf numFmtId="165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7" borderId="0" xfId="0" applyFont="1" applyFill="1"/>
    <xf numFmtId="164" fontId="2" fillId="7" borderId="0" xfId="0" applyNumberFormat="1" applyFont="1" applyFill="1" applyAlignment="1">
      <alignment horizontal="left"/>
    </xf>
    <xf numFmtId="165" fontId="2" fillId="7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left"/>
    </xf>
    <xf numFmtId="165" fontId="3" fillId="4" borderId="0" xfId="0" applyNumberFormat="1" applyFont="1" applyFill="1" applyAlignment="1">
      <alignment horizontal="left"/>
    </xf>
    <xf numFmtId="166" fontId="1" fillId="2" borderId="1" xfId="0" applyNumberFormat="1" applyFont="1" applyFill="1" applyBorder="1" applyAlignment="1">
      <alignment horizontal="right"/>
    </xf>
    <xf numFmtId="166" fontId="3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6" fontId="2" fillId="6" borderId="0" xfId="0" applyNumberFormat="1" applyFont="1" applyFill="1" applyAlignment="1">
      <alignment horizontal="right"/>
    </xf>
    <xf numFmtId="166" fontId="2" fillId="5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166" fontId="2" fillId="7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165" fontId="1" fillId="2" borderId="1" xfId="0" applyNumberFormat="1" applyFont="1" applyFill="1" applyBorder="1" applyAlignment="1">
      <alignment horizontal="left"/>
    </xf>
    <xf numFmtId="0" fontId="0" fillId="6" borderId="0" xfId="0" applyFill="1"/>
    <xf numFmtId="0" fontId="0" fillId="5" borderId="0" xfId="0" applyFill="1"/>
    <xf numFmtId="0" fontId="0" fillId="4" borderId="0" xfId="0" applyFill="1"/>
    <xf numFmtId="0" fontId="0" fillId="7" borderId="0" xfId="0" applyFill="1"/>
    <xf numFmtId="1" fontId="1" fillId="2" borderId="1" xfId="0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right"/>
    </xf>
    <xf numFmtId="1" fontId="2" fillId="6" borderId="0" xfId="0" applyNumberFormat="1" applyFont="1" applyFill="1" applyAlignment="1">
      <alignment horizontal="right"/>
    </xf>
    <xf numFmtId="1" fontId="2" fillId="5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/>
    </xf>
    <xf numFmtId="1" fontId="2" fillId="4" borderId="0" xfId="0" applyNumberFormat="1" applyFont="1" applyFill="1" applyAlignment="1">
      <alignment horizontal="right"/>
    </xf>
    <xf numFmtId="1" fontId="2" fillId="7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Big Island: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sites'!$B$2:$B$10</c:f>
              <c:strCache>
                <c:ptCount val="9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</c:strCache>
            </c:strRef>
          </c:cat>
          <c:val>
            <c:numRef>
              <c:f>'Pua Kala sites'!$H$2:$H$10</c:f>
              <c:numCache>
                <c:formatCode>0.000000</c:formatCode>
                <c:ptCount val="9"/>
                <c:pt idx="0">
                  <c:v>1454.6613583019998</c:v>
                </c:pt>
                <c:pt idx="1">
                  <c:v>37.808798074989106</c:v>
                </c:pt>
                <c:pt idx="2">
                  <c:v>10090.333956113282</c:v>
                </c:pt>
                <c:pt idx="3">
                  <c:v>65.67445224250794</c:v>
                </c:pt>
                <c:pt idx="4">
                  <c:v>5149.1149787890627</c:v>
                </c:pt>
                <c:pt idx="5">
                  <c:v>4718.9048214599361</c:v>
                </c:pt>
                <c:pt idx="6">
                  <c:v>3071.1299647485343</c:v>
                </c:pt>
                <c:pt idx="7">
                  <c:v>2575.9656233593751</c:v>
                </c:pt>
                <c:pt idx="8">
                  <c:v>2496.5992922973624</c:v>
                </c:pt>
              </c:numCache>
            </c:numRef>
          </c:val>
        </c:ser>
        <c:axId val="101234944"/>
        <c:axId val="101240832"/>
      </c:barChart>
      <c:catAx>
        <c:axId val="101234944"/>
        <c:scaling>
          <c:orientation val="minMax"/>
        </c:scaling>
        <c:axPos val="b"/>
        <c:tickLblPos val="nextTo"/>
        <c:crossAx val="101240832"/>
        <c:crosses val="autoZero"/>
        <c:auto val="1"/>
        <c:lblAlgn val="ctr"/>
        <c:lblOffset val="100"/>
      </c:catAx>
      <c:valAx>
        <c:axId val="101240832"/>
        <c:scaling>
          <c:orientation val="minMax"/>
        </c:scaling>
        <c:axPos val="l"/>
        <c:majorGridlines/>
        <c:numFmt formatCode="0" sourceLinked="0"/>
        <c:tickLblPos val="nextTo"/>
        <c:crossAx val="101234944"/>
        <c:crosses val="autoZero"/>
        <c:crossBetween val="between"/>
      </c:valAx>
    </c:plotArea>
    <c:plotVisOnly val="1"/>
    <c:dispBlanksAs val="gap"/>
  </c:chart>
  <c:printSettings>
    <c:headerFooter/>
    <c:pageMargins b="1" l="0.75000000000000144" r="0.750000000000001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Big Island: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381E-2"/>
          <c:y val="0.14677337195672072"/>
          <c:w val="0.94962708245752525"/>
          <c:h val="0.71460884614676556"/>
        </c:manualLayout>
      </c:layout>
      <c:barChart>
        <c:barDir val="col"/>
        <c:grouping val="clustered"/>
        <c:ser>
          <c:idx val="0"/>
          <c:order val="0"/>
          <c:cat>
            <c:strRef>
              <c:f>'Pua Kala sites'!$B$2:$B$10</c:f>
              <c:strCache>
                <c:ptCount val="9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</c:strCache>
            </c:strRef>
          </c:cat>
          <c:val>
            <c:numRef>
              <c:f>'Pua Kala sites'!$I$2:$I$10</c:f>
              <c:numCache>
                <c:formatCode>0.000</c:formatCode>
                <c:ptCount val="9"/>
                <c:pt idx="0">
                  <c:v>49.676000000000002</c:v>
                </c:pt>
                <c:pt idx="1">
                  <c:v>10.645</c:v>
                </c:pt>
                <c:pt idx="2">
                  <c:v>30.253</c:v>
                </c:pt>
                <c:pt idx="3">
                  <c:v>10.718999999999999</c:v>
                </c:pt>
                <c:pt idx="4">
                  <c:v>22.327000000000002</c:v>
                </c:pt>
                <c:pt idx="5">
                  <c:v>23.068999999999999</c:v>
                </c:pt>
                <c:pt idx="6">
                  <c:v>28.349</c:v>
                </c:pt>
                <c:pt idx="7">
                  <c:v>22.942</c:v>
                </c:pt>
                <c:pt idx="8">
                  <c:v>19.242999999999999</c:v>
                </c:pt>
              </c:numCache>
            </c:numRef>
          </c:val>
        </c:ser>
        <c:axId val="101248000"/>
        <c:axId val="89543424"/>
      </c:barChart>
      <c:catAx>
        <c:axId val="101248000"/>
        <c:scaling>
          <c:orientation val="minMax"/>
        </c:scaling>
        <c:axPos val="b"/>
        <c:tickLblPos val="nextTo"/>
        <c:crossAx val="89543424"/>
        <c:crosses val="autoZero"/>
        <c:auto val="1"/>
        <c:lblAlgn val="ctr"/>
        <c:lblOffset val="100"/>
      </c:catAx>
      <c:valAx>
        <c:axId val="89543424"/>
        <c:scaling>
          <c:orientation val="minMax"/>
        </c:scaling>
        <c:axPos val="l"/>
        <c:majorGridlines/>
        <c:numFmt formatCode="0" sourceLinked="0"/>
        <c:tickLblPos val="nextTo"/>
        <c:crossAx val="101248000"/>
        <c:crosses val="autoZero"/>
        <c:crossBetween val="between"/>
      </c:valAx>
    </c:plotArea>
    <c:plotVisOnly val="1"/>
    <c:dispBlanksAs val="gap"/>
  </c:chart>
  <c:printSettings>
    <c:headerFooter/>
    <c:pageMargins b="1" l="0.75000000000000144" r="0.750000000000001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Big Island: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sites'!$B$2:$B$10</c:f>
              <c:strCache>
                <c:ptCount val="9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</c:strCache>
            </c:strRef>
          </c:cat>
          <c:val>
            <c:numRef>
              <c:f>'Pua Kala sites'!$J$2:$J$10</c:f>
              <c:numCache>
                <c:formatCode>0</c:formatCode>
                <c:ptCount val="9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</c:numCache>
            </c:numRef>
          </c:val>
        </c:ser>
        <c:axId val="89563136"/>
        <c:axId val="89564672"/>
      </c:barChart>
      <c:catAx>
        <c:axId val="89563136"/>
        <c:scaling>
          <c:orientation val="minMax"/>
        </c:scaling>
        <c:axPos val="b"/>
        <c:tickLblPos val="nextTo"/>
        <c:crossAx val="89564672"/>
        <c:crossesAt val="0"/>
        <c:auto val="1"/>
        <c:lblAlgn val="ctr"/>
        <c:lblOffset val="100"/>
      </c:catAx>
      <c:valAx>
        <c:axId val="89564672"/>
        <c:scaling>
          <c:orientation val="minMax"/>
        </c:scaling>
        <c:axPos val="l"/>
        <c:majorGridlines/>
        <c:numFmt formatCode="0" sourceLinked="1"/>
        <c:tickLblPos val="nextTo"/>
        <c:crossAx val="89563136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Big Island: Mean Prickle Density (per cm</a:t>
            </a:r>
            <a:r>
              <a:rPr lang="en-US" baseline="30000"/>
              <a:t>2</a:t>
            </a:r>
            <a:r>
              <a:rPr lang="en-US"/>
              <a:t>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errBars>
            <c:errBarType val="both"/>
            <c:errValType val="cust"/>
            <c:plus>
              <c:numRef>
                <c:f>'Pua Kala sites'!$P$2:$P$10</c:f>
                <c:numCache>
                  <c:formatCode>General</c:formatCode>
                  <c:ptCount val="9"/>
                  <c:pt idx="0">
                    <c:v>0.6</c:v>
                  </c:pt>
                  <c:pt idx="1">
                    <c:v>1.8</c:v>
                  </c:pt>
                  <c:pt idx="2">
                    <c:v>2</c:v>
                  </c:pt>
                  <c:pt idx="3">
                    <c:v>3.5</c:v>
                  </c:pt>
                  <c:pt idx="5">
                    <c:v>11.7</c:v>
                  </c:pt>
                  <c:pt idx="8">
                    <c:v>13.8</c:v>
                  </c:pt>
                </c:numCache>
              </c:numRef>
            </c:plus>
            <c:minus>
              <c:numRef>
                <c:f>'Pua Kala sites'!$P$2:$P$10</c:f>
                <c:numCache>
                  <c:formatCode>General</c:formatCode>
                  <c:ptCount val="9"/>
                  <c:pt idx="0">
                    <c:v>0.6</c:v>
                  </c:pt>
                  <c:pt idx="1">
                    <c:v>1.8</c:v>
                  </c:pt>
                  <c:pt idx="2">
                    <c:v>2</c:v>
                  </c:pt>
                  <c:pt idx="3">
                    <c:v>3.5</c:v>
                  </c:pt>
                  <c:pt idx="5">
                    <c:v>11.7</c:v>
                  </c:pt>
                  <c:pt idx="8">
                    <c:v>13.8</c:v>
                  </c:pt>
                </c:numCache>
              </c:numRef>
            </c:minus>
          </c:errBars>
          <c:cat>
            <c:strRef>
              <c:f>'Pua Kala sites'!$B$2:$B$10</c:f>
              <c:strCache>
                <c:ptCount val="9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</c:strCache>
            </c:strRef>
          </c:cat>
          <c:val>
            <c:numRef>
              <c:f>'Pua Kala sites'!$O$2:$O$10</c:f>
              <c:numCache>
                <c:formatCode>General</c:formatCode>
                <c:ptCount val="9"/>
                <c:pt idx="0">
                  <c:v>2</c:v>
                </c:pt>
                <c:pt idx="1">
                  <c:v>4.8</c:v>
                </c:pt>
                <c:pt idx="2">
                  <c:v>18</c:v>
                </c:pt>
                <c:pt idx="3">
                  <c:v>8.8000000000000007</c:v>
                </c:pt>
                <c:pt idx="4">
                  <c:v>34.200000000000003</c:v>
                </c:pt>
                <c:pt idx="5">
                  <c:v>58.5</c:v>
                </c:pt>
                <c:pt idx="6">
                  <c:v>91.8</c:v>
                </c:pt>
                <c:pt idx="7">
                  <c:v>126</c:v>
                </c:pt>
                <c:pt idx="8">
                  <c:v>31.7</c:v>
                </c:pt>
              </c:numCache>
            </c:numRef>
          </c:val>
        </c:ser>
        <c:axId val="73141248"/>
        <c:axId val="73150464"/>
      </c:barChart>
      <c:catAx>
        <c:axId val="73141248"/>
        <c:scaling>
          <c:orientation val="minMax"/>
        </c:scaling>
        <c:axPos val="b"/>
        <c:tickLblPos val="nextTo"/>
        <c:crossAx val="73150464"/>
        <c:crossesAt val="0"/>
        <c:auto val="1"/>
        <c:lblAlgn val="ctr"/>
        <c:lblOffset val="100"/>
      </c:catAx>
      <c:valAx>
        <c:axId val="73150464"/>
        <c:scaling>
          <c:orientation val="minMax"/>
        </c:scaling>
        <c:axPos val="l"/>
        <c:majorGridlines/>
        <c:numFmt formatCode="General" sourceLinked="1"/>
        <c:tickLblPos val="nextTo"/>
        <c:crossAx val="73141248"/>
        <c:crosses val="autoZero"/>
        <c:crossBetween val="between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Maui County: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sites'!$B$11:$B$13</c:f>
              <c:strCache>
                <c:ptCount val="3"/>
                <c:pt idx="0">
                  <c:v>Lanai roadside</c:v>
                </c:pt>
                <c:pt idx="1">
                  <c:v>Maui Nui Botanical Garden</c:v>
                </c:pt>
                <c:pt idx="2">
                  <c:v>Molokai roadside</c:v>
                </c:pt>
              </c:strCache>
            </c:strRef>
          </c:cat>
          <c:val>
            <c:numRef>
              <c:f>'Pua Kala sites'!$G$11:$G$13</c:f>
              <c:numCache>
                <c:formatCode>0.000000</c:formatCode>
                <c:ptCount val="3"/>
                <c:pt idx="0">
                  <c:v>395.07015991210898</c:v>
                </c:pt>
                <c:pt idx="1">
                  <c:v>18.9390983581543</c:v>
                </c:pt>
                <c:pt idx="2">
                  <c:v>172.794677734375</c:v>
                </c:pt>
              </c:numCache>
            </c:numRef>
          </c:val>
        </c:ser>
        <c:axId val="103460864"/>
        <c:axId val="105038208"/>
      </c:barChart>
      <c:catAx>
        <c:axId val="103460864"/>
        <c:scaling>
          <c:orientation val="minMax"/>
        </c:scaling>
        <c:axPos val="b"/>
        <c:tickLblPos val="nextTo"/>
        <c:crossAx val="105038208"/>
        <c:crosses val="autoZero"/>
        <c:auto val="1"/>
        <c:lblAlgn val="ctr"/>
        <c:lblOffset val="100"/>
      </c:catAx>
      <c:valAx>
        <c:axId val="105038208"/>
        <c:scaling>
          <c:orientation val="minMax"/>
        </c:scaling>
        <c:axPos val="l"/>
        <c:majorGridlines/>
        <c:numFmt formatCode="0" sourceLinked="0"/>
        <c:tickLblPos val="nextTo"/>
        <c:crossAx val="103460864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Maui County: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395E-2"/>
          <c:y val="0.14677337195672074"/>
          <c:w val="0.94962708245752558"/>
          <c:h val="0.7146088461467659"/>
        </c:manualLayout>
      </c:layout>
      <c:barChart>
        <c:barDir val="col"/>
        <c:grouping val="clustered"/>
        <c:ser>
          <c:idx val="0"/>
          <c:order val="0"/>
          <c:cat>
            <c:strRef>
              <c:f>'Pua Kala sites'!$B$11:$B$13</c:f>
              <c:strCache>
                <c:ptCount val="3"/>
                <c:pt idx="0">
                  <c:v>Lanai roadside</c:v>
                </c:pt>
                <c:pt idx="1">
                  <c:v>Maui Nui Botanical Garden</c:v>
                </c:pt>
                <c:pt idx="2">
                  <c:v>Molokai roadside</c:v>
                </c:pt>
              </c:strCache>
            </c:strRef>
          </c:cat>
          <c:val>
            <c:numRef>
              <c:f>'Pua Kala sites'!$I$11:$I$13</c:f>
              <c:numCache>
                <c:formatCode>0.000</c:formatCode>
                <c:ptCount val="3"/>
                <c:pt idx="0">
                  <c:v>29.707999999999998</c:v>
                </c:pt>
                <c:pt idx="1">
                  <c:v>19.472000000000001</c:v>
                </c:pt>
                <c:pt idx="2">
                  <c:v>23.681000000000001</c:v>
                </c:pt>
              </c:numCache>
            </c:numRef>
          </c:val>
        </c:ser>
        <c:axId val="147199104"/>
        <c:axId val="147200640"/>
      </c:barChart>
      <c:catAx>
        <c:axId val="147199104"/>
        <c:scaling>
          <c:orientation val="minMax"/>
        </c:scaling>
        <c:axPos val="b"/>
        <c:tickLblPos val="nextTo"/>
        <c:crossAx val="147200640"/>
        <c:crosses val="autoZero"/>
        <c:auto val="1"/>
        <c:lblAlgn val="ctr"/>
        <c:lblOffset val="100"/>
      </c:catAx>
      <c:valAx>
        <c:axId val="147200640"/>
        <c:scaling>
          <c:orientation val="minMax"/>
        </c:scaling>
        <c:axPos val="l"/>
        <c:majorGridlines/>
        <c:numFmt formatCode="0" sourceLinked="0"/>
        <c:tickLblPos val="nextTo"/>
        <c:crossAx val="147199104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Maui County: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sites'!$B$11:$B$13</c:f>
              <c:strCache>
                <c:ptCount val="3"/>
                <c:pt idx="0">
                  <c:v>Lanai roadside</c:v>
                </c:pt>
                <c:pt idx="1">
                  <c:v>Maui Nui Botanical Garden</c:v>
                </c:pt>
                <c:pt idx="2">
                  <c:v>Molokai roadside</c:v>
                </c:pt>
              </c:strCache>
            </c:strRef>
          </c:cat>
          <c:val>
            <c:numRef>
              <c:f>'Pua Kala sites'!$J$11:$J$13</c:f>
              <c:numCache>
                <c:formatCode>0</c:formatCode>
                <c:ptCount val="3"/>
                <c:pt idx="0">
                  <c:v>12</c:v>
                </c:pt>
                <c:pt idx="1">
                  <c:v>0</c:v>
                </c:pt>
                <c:pt idx="2">
                  <c:v>12</c:v>
                </c:pt>
              </c:numCache>
            </c:numRef>
          </c:val>
        </c:ser>
        <c:axId val="147220352"/>
        <c:axId val="147221888"/>
      </c:barChart>
      <c:catAx>
        <c:axId val="147220352"/>
        <c:scaling>
          <c:orientation val="minMax"/>
        </c:scaling>
        <c:axPos val="b"/>
        <c:tickLblPos val="nextTo"/>
        <c:crossAx val="147221888"/>
        <c:crossesAt val="0"/>
        <c:auto val="1"/>
        <c:lblAlgn val="ctr"/>
        <c:lblOffset val="100"/>
      </c:catAx>
      <c:valAx>
        <c:axId val="147221888"/>
        <c:scaling>
          <c:orientation val="minMax"/>
        </c:scaling>
        <c:axPos val="l"/>
        <c:majorGridlines/>
        <c:numFmt formatCode="0" sourceLinked="1"/>
        <c:tickLblPos val="nextTo"/>
        <c:crossAx val="147220352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Maui County: Mean Prickle Density (per cm</a:t>
            </a:r>
            <a:r>
              <a:rPr lang="en-US" baseline="30000"/>
              <a:t>2</a:t>
            </a:r>
            <a:r>
              <a:rPr lang="en-US"/>
              <a:t>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errBars>
            <c:errBarType val="both"/>
            <c:errValType val="cust"/>
            <c:plus>
              <c:numRef>
                <c:f>'Pua Kala sites'!$P$11:$P$13</c:f>
                <c:numCache>
                  <c:formatCode>General</c:formatCode>
                  <c:ptCount val="3"/>
                  <c:pt idx="1">
                    <c:v>1.6</c:v>
                  </c:pt>
                  <c:pt idx="2">
                    <c:v>0.1</c:v>
                  </c:pt>
                </c:numCache>
              </c:numRef>
            </c:plus>
            <c:minus>
              <c:numRef>
                <c:f>'Pua Kala sites'!$P$11:$P$13</c:f>
                <c:numCache>
                  <c:formatCode>General</c:formatCode>
                  <c:ptCount val="3"/>
                  <c:pt idx="1">
                    <c:v>1.6</c:v>
                  </c:pt>
                  <c:pt idx="2">
                    <c:v>0.1</c:v>
                  </c:pt>
                </c:numCache>
              </c:numRef>
            </c:minus>
          </c:errBars>
          <c:cat>
            <c:strRef>
              <c:f>'Pua Kala sites'!$B$11:$B$13</c:f>
              <c:strCache>
                <c:ptCount val="3"/>
                <c:pt idx="0">
                  <c:v>Lanai roadside</c:v>
                </c:pt>
                <c:pt idx="1">
                  <c:v>Maui Nui Botanical Garden</c:v>
                </c:pt>
                <c:pt idx="2">
                  <c:v>Molokai roadside</c:v>
                </c:pt>
              </c:strCache>
            </c:strRef>
          </c:cat>
          <c:val>
            <c:numRef>
              <c:f>'Pua Kala sites'!$O$11:$O$13</c:f>
              <c:numCache>
                <c:formatCode>General</c:formatCode>
                <c:ptCount val="3"/>
                <c:pt idx="0">
                  <c:v>7.6</c:v>
                </c:pt>
                <c:pt idx="1">
                  <c:v>7.2</c:v>
                </c:pt>
                <c:pt idx="2">
                  <c:v>2.1</c:v>
                </c:pt>
              </c:numCache>
            </c:numRef>
          </c:val>
        </c:ser>
        <c:axId val="147250176"/>
        <c:axId val="147301120"/>
      </c:barChart>
      <c:catAx>
        <c:axId val="147250176"/>
        <c:scaling>
          <c:orientation val="minMax"/>
        </c:scaling>
        <c:axPos val="b"/>
        <c:tickLblPos val="nextTo"/>
        <c:crossAx val="147301120"/>
        <c:crossesAt val="0"/>
        <c:auto val="1"/>
        <c:lblAlgn val="ctr"/>
        <c:lblOffset val="100"/>
      </c:catAx>
      <c:valAx>
        <c:axId val="147301120"/>
        <c:scaling>
          <c:orientation val="minMax"/>
        </c:scaling>
        <c:axPos val="l"/>
        <c:majorGridlines/>
        <c:numFmt formatCode="General" sourceLinked="1"/>
        <c:tickLblPos val="nextTo"/>
        <c:crossAx val="147250176"/>
        <c:crosses val="autoZero"/>
        <c:crossBetween val="between"/>
      </c:valAx>
    </c:plotArea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Oahu: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sites'!$B$14:$B$15</c:f>
              <c:strCache>
                <c:ptCount val="2"/>
                <c:pt idx="0">
                  <c:v>Ka'ena Pt</c:v>
                </c:pt>
                <c:pt idx="1">
                  <c:v>Koko Crater Botanical Garden</c:v>
                </c:pt>
              </c:strCache>
            </c:strRef>
          </c:cat>
          <c:val>
            <c:numRef>
              <c:f>'Pua Kala sites'!$G$14:$G$15</c:f>
              <c:numCache>
                <c:formatCode>0.000000</c:formatCode>
                <c:ptCount val="2"/>
                <c:pt idx="0">
                  <c:v>134.25796508789</c:v>
                </c:pt>
                <c:pt idx="1">
                  <c:v>81.198989868164006</c:v>
                </c:pt>
              </c:numCache>
            </c:numRef>
          </c:val>
        </c:ser>
        <c:axId val="153644416"/>
        <c:axId val="151389312"/>
      </c:barChart>
      <c:catAx>
        <c:axId val="153644416"/>
        <c:scaling>
          <c:orientation val="minMax"/>
        </c:scaling>
        <c:axPos val="b"/>
        <c:tickLblPos val="nextTo"/>
        <c:crossAx val="151389312"/>
        <c:crosses val="autoZero"/>
        <c:auto val="1"/>
        <c:lblAlgn val="ctr"/>
        <c:lblOffset val="100"/>
      </c:catAx>
      <c:valAx>
        <c:axId val="151389312"/>
        <c:scaling>
          <c:orientation val="minMax"/>
        </c:scaling>
        <c:axPos val="l"/>
        <c:majorGridlines/>
        <c:numFmt formatCode="0" sourceLinked="0"/>
        <c:tickLblPos val="nextTo"/>
        <c:crossAx val="153644416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Oahu: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395E-2"/>
          <c:y val="0.14677337195672074"/>
          <c:w val="0.94962708245752558"/>
          <c:h val="0.7146088461467659"/>
        </c:manualLayout>
      </c:layout>
      <c:barChart>
        <c:barDir val="col"/>
        <c:grouping val="clustered"/>
        <c:ser>
          <c:idx val="0"/>
          <c:order val="0"/>
          <c:cat>
            <c:strRef>
              <c:f>'Pua Kala sites'!$B$14:$B$15</c:f>
              <c:strCache>
                <c:ptCount val="2"/>
                <c:pt idx="0">
                  <c:v>Ka'ena Pt</c:v>
                </c:pt>
                <c:pt idx="1">
                  <c:v>Koko Crater Botanical Garden</c:v>
                </c:pt>
              </c:strCache>
            </c:strRef>
          </c:cat>
          <c:val>
            <c:numRef>
              <c:f>'Pua Kala sites'!$I$14:$I$15</c:f>
              <c:numCache>
                <c:formatCode>0.000</c:formatCode>
                <c:ptCount val="2"/>
                <c:pt idx="0">
                  <c:v>32.92</c:v>
                </c:pt>
                <c:pt idx="1">
                  <c:v>29.757000000000001</c:v>
                </c:pt>
              </c:numCache>
            </c:numRef>
          </c:val>
        </c:ser>
        <c:axId val="151405312"/>
        <c:axId val="151406848"/>
      </c:barChart>
      <c:catAx>
        <c:axId val="151405312"/>
        <c:scaling>
          <c:orientation val="minMax"/>
        </c:scaling>
        <c:axPos val="b"/>
        <c:tickLblPos val="nextTo"/>
        <c:crossAx val="151406848"/>
        <c:crosses val="autoZero"/>
        <c:auto val="1"/>
        <c:lblAlgn val="ctr"/>
        <c:lblOffset val="100"/>
      </c:catAx>
      <c:valAx>
        <c:axId val="151406848"/>
        <c:scaling>
          <c:orientation val="minMax"/>
        </c:scaling>
        <c:axPos val="l"/>
        <c:majorGridlines/>
        <c:numFmt formatCode="0" sourceLinked="0"/>
        <c:tickLblPos val="nextTo"/>
        <c:crossAx val="151405312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Oahu: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sites'!$B$14:$B$15</c:f>
              <c:strCache>
                <c:ptCount val="2"/>
                <c:pt idx="0">
                  <c:v>Ka'ena Pt</c:v>
                </c:pt>
                <c:pt idx="1">
                  <c:v>Koko Crater Botanical Garden</c:v>
                </c:pt>
              </c:strCache>
            </c:strRef>
          </c:cat>
          <c:val>
            <c:numRef>
              <c:f>'Pua Kala sites'!$J$14:$J$15</c:f>
              <c:numCache>
                <c:formatCode>0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</c:ser>
        <c:axId val="151442944"/>
        <c:axId val="151444480"/>
      </c:barChart>
      <c:catAx>
        <c:axId val="151442944"/>
        <c:scaling>
          <c:orientation val="minMax"/>
        </c:scaling>
        <c:axPos val="b"/>
        <c:tickLblPos val="nextTo"/>
        <c:crossAx val="151444480"/>
        <c:crossesAt val="0"/>
        <c:auto val="1"/>
        <c:lblAlgn val="ctr"/>
        <c:lblOffset val="100"/>
      </c:catAx>
      <c:valAx>
        <c:axId val="151444480"/>
        <c:scaling>
          <c:orientation val="minMax"/>
        </c:scaling>
        <c:axPos val="l"/>
        <c:majorGridlines/>
        <c:numFmt formatCode="0" sourceLinked="1"/>
        <c:tickLblPos val="nextTo"/>
        <c:crossAx val="151442944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Oahu: Mean Prickle Density (per cm</a:t>
            </a:r>
            <a:r>
              <a:rPr lang="en-US" baseline="30000"/>
              <a:t>2</a:t>
            </a:r>
            <a:r>
              <a:rPr lang="en-US"/>
              <a:t>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errBars>
            <c:errBarType val="both"/>
            <c:errValType val="cust"/>
            <c:plus>
              <c:numRef>
                <c:f>'Pua Kala sites'!$P$14:$P$15</c:f>
                <c:numCache>
                  <c:formatCode>General</c:formatCode>
                  <c:ptCount val="2"/>
                  <c:pt idx="0">
                    <c:v>2</c:v>
                  </c:pt>
                </c:numCache>
              </c:numRef>
            </c:plus>
            <c:minus>
              <c:numRef>
                <c:f>'Pua Kala sites'!$P$14:$P$15</c:f>
                <c:numCache>
                  <c:formatCode>General</c:formatCode>
                  <c:ptCount val="2"/>
                  <c:pt idx="0">
                    <c:v>2</c:v>
                  </c:pt>
                </c:numCache>
              </c:numRef>
            </c:minus>
          </c:errBars>
          <c:cat>
            <c:strRef>
              <c:f>'Pua Kala sites'!$B$14:$B$15</c:f>
              <c:strCache>
                <c:ptCount val="2"/>
                <c:pt idx="0">
                  <c:v>Ka'ena Pt</c:v>
                </c:pt>
                <c:pt idx="1">
                  <c:v>Koko Crater Botanical Garden</c:v>
                </c:pt>
              </c:strCache>
            </c:strRef>
          </c:cat>
          <c:val>
            <c:numRef>
              <c:f>'Pua Kala sites'!$O$14:$O$15</c:f>
              <c:numCache>
                <c:formatCode>General</c:formatCode>
                <c:ptCount val="2"/>
                <c:pt idx="0">
                  <c:v>11.9</c:v>
                </c:pt>
              </c:numCache>
            </c:numRef>
          </c:val>
        </c:ser>
        <c:axId val="118106752"/>
        <c:axId val="118120832"/>
      </c:barChart>
      <c:catAx>
        <c:axId val="118106752"/>
        <c:scaling>
          <c:orientation val="minMax"/>
        </c:scaling>
        <c:axPos val="b"/>
        <c:tickLblPos val="nextTo"/>
        <c:crossAx val="118120832"/>
        <c:crossesAt val="0"/>
        <c:auto val="1"/>
        <c:lblAlgn val="ctr"/>
        <c:lblOffset val="100"/>
      </c:catAx>
      <c:valAx>
        <c:axId val="118120832"/>
        <c:scaling>
          <c:orientation val="minMax"/>
        </c:scaling>
        <c:axPos val="l"/>
        <c:majorGridlines/>
        <c:numFmt formatCode="General" sourceLinked="1"/>
        <c:tickLblPos val="nextTo"/>
        <c:crossAx val="118106752"/>
        <c:crosses val="autoZero"/>
        <c:crossBetween val="between"/>
      </c:valAx>
    </c:plotArea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 State of Hawaii: Elevation (m)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sites'!$B$2:$B$15</c:f>
              <c:strCache>
                <c:ptCount val="14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  <c:pt idx="9">
                  <c:v>Lanai roadside</c:v>
                </c:pt>
                <c:pt idx="10">
                  <c:v>Maui Nui Botanical Garden</c:v>
                </c:pt>
                <c:pt idx="11">
                  <c:v>Molokai roadside</c:v>
                </c:pt>
                <c:pt idx="12">
                  <c:v>Ka'ena Pt</c:v>
                </c:pt>
                <c:pt idx="13">
                  <c:v>Koko Crater Botanical Garden</c:v>
                </c:pt>
              </c:strCache>
            </c:strRef>
          </c:cat>
          <c:val>
            <c:numRef>
              <c:f>'Pua Kala sites'!$G$2:$G$15</c:f>
              <c:numCache>
                <c:formatCode>0.000000</c:formatCode>
                <c:ptCount val="14"/>
                <c:pt idx="0">
                  <c:v>443.380767822265</c:v>
                </c:pt>
                <c:pt idx="1">
                  <c:v>11.524121284484799</c:v>
                </c:pt>
                <c:pt idx="2">
                  <c:v>3075.53369140625</c:v>
                </c:pt>
                <c:pt idx="3">
                  <c:v>20.017572402954102</c:v>
                </c:pt>
                <c:pt idx="4">
                  <c:v>1569.4501953125</c:v>
                </c:pt>
                <c:pt idx="5">
                  <c:v>1438.32214355468</c:v>
                </c:pt>
                <c:pt idx="6">
                  <c:v>936.08038330078102</c:v>
                </c:pt>
                <c:pt idx="7">
                  <c:v>785.154296875</c:v>
                </c:pt>
                <c:pt idx="8">
                  <c:v>760.96343994140602</c:v>
                </c:pt>
                <c:pt idx="9">
                  <c:v>395.07015991210898</c:v>
                </c:pt>
                <c:pt idx="10">
                  <c:v>18.9390983581543</c:v>
                </c:pt>
                <c:pt idx="11">
                  <c:v>172.794677734375</c:v>
                </c:pt>
                <c:pt idx="12">
                  <c:v>134.25796508789</c:v>
                </c:pt>
                <c:pt idx="13">
                  <c:v>81.198989868164006</c:v>
                </c:pt>
              </c:numCache>
            </c:numRef>
          </c:val>
        </c:ser>
        <c:axId val="102899712"/>
        <c:axId val="102901248"/>
      </c:barChart>
      <c:catAx>
        <c:axId val="102899712"/>
        <c:scaling>
          <c:orientation val="minMax"/>
        </c:scaling>
        <c:axPos val="b"/>
        <c:tickLblPos val="nextTo"/>
        <c:crossAx val="102901248"/>
        <c:crosses val="autoZero"/>
        <c:auto val="1"/>
        <c:lblAlgn val="ctr"/>
        <c:lblOffset val="100"/>
      </c:catAx>
      <c:valAx>
        <c:axId val="102901248"/>
        <c:scaling>
          <c:orientation val="minMax"/>
        </c:scaling>
        <c:axPos val="l"/>
        <c:majorGridlines/>
        <c:numFmt formatCode="0" sourceLinked="0"/>
        <c:tickLblPos val="nextTo"/>
        <c:crossAx val="102899712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State of Hawaii: Annual Rainfall (inches)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1176756774629395E-2"/>
          <c:y val="0.14677337195672074"/>
          <c:w val="0.94962708245752558"/>
          <c:h val="0.7146088461467659"/>
        </c:manualLayout>
      </c:layout>
      <c:barChart>
        <c:barDir val="col"/>
        <c:grouping val="clustered"/>
        <c:ser>
          <c:idx val="0"/>
          <c:order val="0"/>
          <c:cat>
            <c:strRef>
              <c:f>'Pua Kala sites'!$B$2:$B$15</c:f>
              <c:strCache>
                <c:ptCount val="14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  <c:pt idx="9">
                  <c:v>Lanai roadside</c:v>
                </c:pt>
                <c:pt idx="10">
                  <c:v>Maui Nui Botanical Garden</c:v>
                </c:pt>
                <c:pt idx="11">
                  <c:v>Molokai roadside</c:v>
                </c:pt>
                <c:pt idx="12">
                  <c:v>Ka'ena Pt</c:v>
                </c:pt>
                <c:pt idx="13">
                  <c:v>Koko Crater Botanical Garden</c:v>
                </c:pt>
              </c:strCache>
            </c:strRef>
          </c:cat>
          <c:val>
            <c:numRef>
              <c:f>'Pua Kala sites'!$I$2:$I$15</c:f>
              <c:numCache>
                <c:formatCode>0.000</c:formatCode>
                <c:ptCount val="14"/>
                <c:pt idx="0">
                  <c:v>49.676000000000002</c:v>
                </c:pt>
                <c:pt idx="1">
                  <c:v>10.645</c:v>
                </c:pt>
                <c:pt idx="2">
                  <c:v>30.253</c:v>
                </c:pt>
                <c:pt idx="3">
                  <c:v>10.718999999999999</c:v>
                </c:pt>
                <c:pt idx="4">
                  <c:v>22.327000000000002</c:v>
                </c:pt>
                <c:pt idx="5">
                  <c:v>23.068999999999999</c:v>
                </c:pt>
                <c:pt idx="6">
                  <c:v>28.349</c:v>
                </c:pt>
                <c:pt idx="7">
                  <c:v>22.942</c:v>
                </c:pt>
                <c:pt idx="8">
                  <c:v>19.242999999999999</c:v>
                </c:pt>
                <c:pt idx="9">
                  <c:v>29.707999999999998</c:v>
                </c:pt>
                <c:pt idx="10">
                  <c:v>19.472000000000001</c:v>
                </c:pt>
                <c:pt idx="11">
                  <c:v>23.681000000000001</c:v>
                </c:pt>
                <c:pt idx="12">
                  <c:v>32.92</c:v>
                </c:pt>
                <c:pt idx="13">
                  <c:v>29.757000000000001</c:v>
                </c:pt>
              </c:numCache>
            </c:numRef>
          </c:val>
        </c:ser>
        <c:axId val="102925056"/>
        <c:axId val="102926592"/>
      </c:barChart>
      <c:catAx>
        <c:axId val="102925056"/>
        <c:scaling>
          <c:orientation val="minMax"/>
        </c:scaling>
        <c:axPos val="b"/>
        <c:tickLblPos val="nextTo"/>
        <c:crossAx val="102926592"/>
        <c:crosses val="autoZero"/>
        <c:auto val="1"/>
        <c:lblAlgn val="ctr"/>
        <c:lblOffset val="100"/>
      </c:catAx>
      <c:valAx>
        <c:axId val="102926592"/>
        <c:scaling>
          <c:orientation val="minMax"/>
        </c:scaling>
        <c:axPos val="l"/>
        <c:majorGridlines/>
        <c:numFmt formatCode="0" sourceLinked="0"/>
        <c:tickLblPos val="nextTo"/>
        <c:crossAx val="102925056"/>
        <c:crosses val="autoZero"/>
        <c:crossBetween val="between"/>
      </c:valAx>
    </c:plotArea>
    <c:plotVisOnly val="1"/>
    <c:dispBlanksAs val="gap"/>
  </c:chart>
  <c:printSettings>
    <c:headerFooter/>
    <c:pageMargins b="1" l="0.75000000000000167" r="0.75000000000000167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State of Hawaii: Geologic Age (1=youngest, 14=oldest)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'Pua Kala sites'!$B$2:$B$15</c:f>
              <c:strCache>
                <c:ptCount val="14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  <c:pt idx="9">
                  <c:v>Lanai roadside</c:v>
                </c:pt>
                <c:pt idx="10">
                  <c:v>Maui Nui Botanical Garden</c:v>
                </c:pt>
                <c:pt idx="11">
                  <c:v>Molokai roadside</c:v>
                </c:pt>
                <c:pt idx="12">
                  <c:v>Ka'ena Pt</c:v>
                </c:pt>
                <c:pt idx="13">
                  <c:v>Koko Crater Botanical Garden</c:v>
                </c:pt>
              </c:strCache>
            </c:strRef>
          </c:cat>
          <c:val>
            <c:numRef>
              <c:f>'Pua Kala sites'!$J$2:$J$15</c:f>
              <c:numCache>
                <c:formatCode>0</c:formatCode>
                <c:ptCount val="14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0</c:v>
                </c:pt>
              </c:numCache>
            </c:numRef>
          </c:val>
        </c:ser>
        <c:axId val="102938112"/>
        <c:axId val="102939648"/>
      </c:barChart>
      <c:catAx>
        <c:axId val="102938112"/>
        <c:scaling>
          <c:orientation val="minMax"/>
        </c:scaling>
        <c:axPos val="b"/>
        <c:tickLblPos val="nextTo"/>
        <c:crossAx val="102939648"/>
        <c:crossesAt val="0"/>
        <c:auto val="1"/>
        <c:lblAlgn val="ctr"/>
        <c:lblOffset val="100"/>
      </c:catAx>
      <c:valAx>
        <c:axId val="102939648"/>
        <c:scaling>
          <c:orientation val="minMax"/>
        </c:scaling>
        <c:axPos val="l"/>
        <c:majorGridlines/>
        <c:numFmt formatCode="0" sourceLinked="1"/>
        <c:tickLblPos val="nextTo"/>
        <c:crossAx val="102938112"/>
        <c:crosses val="autoZero"/>
        <c:crossBetween val="between"/>
        <c:majorUnit val="1"/>
      </c:valAx>
    </c:plotArea>
    <c:plotVisOnly val="1"/>
    <c:dispBlanksAs val="gap"/>
  </c:chart>
  <c:printSettings>
    <c:headerFooter/>
    <c:pageMargins b="1" l="0.75000000000000189" r="0.75000000000000189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State of Hawaii: Mean Prickle Density (per cm</a:t>
            </a:r>
            <a:r>
              <a:rPr lang="en-US" baseline="30000"/>
              <a:t>2</a:t>
            </a:r>
            <a:r>
              <a:rPr lang="en-US"/>
              <a:t>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errBars>
            <c:errBarType val="both"/>
            <c:errValType val="cust"/>
            <c:plus>
              <c:numRef>
                <c:f>'Pua Kala sites'!$P$2:$P$15</c:f>
                <c:numCache>
                  <c:formatCode>General</c:formatCode>
                  <c:ptCount val="14"/>
                  <c:pt idx="0">
                    <c:v>0.6</c:v>
                  </c:pt>
                  <c:pt idx="1">
                    <c:v>1.8</c:v>
                  </c:pt>
                  <c:pt idx="2">
                    <c:v>2</c:v>
                  </c:pt>
                  <c:pt idx="3">
                    <c:v>3.5</c:v>
                  </c:pt>
                  <c:pt idx="5">
                    <c:v>11.7</c:v>
                  </c:pt>
                  <c:pt idx="8">
                    <c:v>13.8</c:v>
                  </c:pt>
                  <c:pt idx="10">
                    <c:v>1.6</c:v>
                  </c:pt>
                  <c:pt idx="11">
                    <c:v>0.1</c:v>
                  </c:pt>
                  <c:pt idx="12">
                    <c:v>2</c:v>
                  </c:pt>
                </c:numCache>
              </c:numRef>
            </c:plus>
            <c:minus>
              <c:numRef>
                <c:f>'Pua Kala sites'!$P$2:$P$15</c:f>
                <c:numCache>
                  <c:formatCode>General</c:formatCode>
                  <c:ptCount val="14"/>
                  <c:pt idx="0">
                    <c:v>0.6</c:v>
                  </c:pt>
                  <c:pt idx="1">
                    <c:v>1.8</c:v>
                  </c:pt>
                  <c:pt idx="2">
                    <c:v>2</c:v>
                  </c:pt>
                  <c:pt idx="3">
                    <c:v>3.5</c:v>
                  </c:pt>
                  <c:pt idx="5">
                    <c:v>11.7</c:v>
                  </c:pt>
                  <c:pt idx="8">
                    <c:v>13.8</c:v>
                  </c:pt>
                  <c:pt idx="10">
                    <c:v>1.6</c:v>
                  </c:pt>
                  <c:pt idx="11">
                    <c:v>0.1</c:v>
                  </c:pt>
                  <c:pt idx="12">
                    <c:v>2</c:v>
                  </c:pt>
                </c:numCache>
              </c:numRef>
            </c:minus>
          </c:errBars>
          <c:cat>
            <c:strRef>
              <c:f>'Pua Kala sites'!$B$2:$B$15</c:f>
              <c:strCache>
                <c:ptCount val="14"/>
                <c:pt idx="0">
                  <c:v>Amy Greenwell Botanical Garden</c:v>
                </c:pt>
                <c:pt idx="1">
                  <c:v>Kona side</c:v>
                </c:pt>
                <c:pt idx="2">
                  <c:v>Mauna Kea</c:v>
                </c:pt>
                <c:pt idx="3">
                  <c:v>Pu'ukohala Heiau National Historic Site</c:v>
                </c:pt>
                <c:pt idx="4">
                  <c:v>Saddle Rd: site 1</c:v>
                </c:pt>
                <c:pt idx="5">
                  <c:v>Saddle Rd: site 2</c:v>
                </c:pt>
                <c:pt idx="6">
                  <c:v>Saddle Rd: site 3</c:v>
                </c:pt>
                <c:pt idx="7">
                  <c:v>Saddle Rd: site 4</c:v>
                </c:pt>
                <c:pt idx="8">
                  <c:v>Waimea</c:v>
                </c:pt>
                <c:pt idx="9">
                  <c:v>Lanai roadside</c:v>
                </c:pt>
                <c:pt idx="10">
                  <c:v>Maui Nui Botanical Garden</c:v>
                </c:pt>
                <c:pt idx="11">
                  <c:v>Molokai roadside</c:v>
                </c:pt>
                <c:pt idx="12">
                  <c:v>Ka'ena Pt</c:v>
                </c:pt>
                <c:pt idx="13">
                  <c:v>Koko Crater Botanical Garden</c:v>
                </c:pt>
              </c:strCache>
            </c:strRef>
          </c:cat>
          <c:val>
            <c:numRef>
              <c:f>'Pua Kala sites'!$O$2:$O$15</c:f>
              <c:numCache>
                <c:formatCode>General</c:formatCode>
                <c:ptCount val="14"/>
                <c:pt idx="0">
                  <c:v>2</c:v>
                </c:pt>
                <c:pt idx="1">
                  <c:v>4.8</c:v>
                </c:pt>
                <c:pt idx="2">
                  <c:v>18</c:v>
                </c:pt>
                <c:pt idx="3">
                  <c:v>8.8000000000000007</c:v>
                </c:pt>
                <c:pt idx="4">
                  <c:v>34.200000000000003</c:v>
                </c:pt>
                <c:pt idx="5">
                  <c:v>58.5</c:v>
                </c:pt>
                <c:pt idx="6">
                  <c:v>91.8</c:v>
                </c:pt>
                <c:pt idx="7">
                  <c:v>126</c:v>
                </c:pt>
                <c:pt idx="8">
                  <c:v>31.7</c:v>
                </c:pt>
                <c:pt idx="9">
                  <c:v>7.6</c:v>
                </c:pt>
                <c:pt idx="10">
                  <c:v>7.2</c:v>
                </c:pt>
                <c:pt idx="11">
                  <c:v>2.1</c:v>
                </c:pt>
                <c:pt idx="12">
                  <c:v>11.9</c:v>
                </c:pt>
              </c:numCache>
            </c:numRef>
          </c:val>
        </c:ser>
        <c:axId val="101574528"/>
        <c:axId val="102887808"/>
      </c:barChart>
      <c:catAx>
        <c:axId val="101574528"/>
        <c:scaling>
          <c:orientation val="minMax"/>
        </c:scaling>
        <c:axPos val="b"/>
        <c:tickLblPos val="nextTo"/>
        <c:crossAx val="102887808"/>
        <c:crossesAt val="0"/>
        <c:auto val="1"/>
        <c:lblAlgn val="ctr"/>
        <c:lblOffset val="100"/>
      </c:catAx>
      <c:valAx>
        <c:axId val="102887808"/>
        <c:scaling>
          <c:orientation val="minMax"/>
        </c:scaling>
        <c:axPos val="l"/>
        <c:majorGridlines/>
        <c:numFmt formatCode="General" sourceLinked="1"/>
        <c:tickLblPos val="nextTo"/>
        <c:crossAx val="101574528"/>
        <c:crosses val="autoZero"/>
        <c:crossBetween val="between"/>
      </c:valAx>
    </c:plotArea>
    <c:plotVisOnly val="1"/>
    <c:dispBlanksAs val="gap"/>
  </c:chart>
  <c:printSettings>
    <c:headerFooter/>
    <c:pageMargins b="1" l="0.75000000000000211" r="0.750000000000002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219075</xdr:colOff>
      <xdr:row>21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22</xdr:row>
      <xdr:rowOff>44450</xdr:rowOff>
    </xdr:from>
    <xdr:to>
      <xdr:col>12</xdr:col>
      <xdr:colOff>238126</xdr:colOff>
      <xdr:row>43</xdr:row>
      <xdr:rowOff>117475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504826</xdr:colOff>
      <xdr:row>0</xdr:row>
      <xdr:rowOff>6350</xdr:rowOff>
    </xdr:from>
    <xdr:to>
      <xdr:col>25</xdr:col>
      <xdr:colOff>146051</xdr:colOff>
      <xdr:row>21</xdr:row>
      <xdr:rowOff>79375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476250</xdr:colOff>
      <xdr:row>22</xdr:row>
      <xdr:rowOff>57150</xdr:rowOff>
    </xdr:from>
    <xdr:to>
      <xdr:col>25</xdr:col>
      <xdr:colOff>117475</xdr:colOff>
      <xdr:row>43</xdr:row>
      <xdr:rowOff>130175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304800</xdr:colOff>
      <xdr:row>3</xdr:row>
      <xdr:rowOff>38100</xdr:rowOff>
    </xdr:from>
    <xdr:to>
      <xdr:col>15</xdr:col>
      <xdr:colOff>333375</xdr:colOff>
      <xdr:row>6</xdr:row>
      <xdr:rowOff>142875</xdr:rowOff>
    </xdr:to>
    <xdr:sp macro="" textlink="">
      <xdr:nvSpPr>
        <xdr:cNvPr id="6" name="TextBox 5"/>
        <xdr:cNvSpPr txBox="1"/>
      </xdr:nvSpPr>
      <xdr:spPr>
        <a:xfrm>
          <a:off x="8229600" y="609600"/>
          <a:ext cx="1247775" cy="67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6 = 5-10 ka</a:t>
          </a:r>
        </a:p>
        <a:p>
          <a:r>
            <a:rPr lang="en-US" sz="1100"/>
            <a:t>7 = 10-30 ka</a:t>
          </a:r>
        </a:p>
        <a:p>
          <a:r>
            <a:rPr lang="en-US" sz="1100"/>
            <a:t>9 = 50-140 ka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219075</xdr:colOff>
      <xdr:row>21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22</xdr:row>
      <xdr:rowOff>44450</xdr:rowOff>
    </xdr:from>
    <xdr:to>
      <xdr:col>12</xdr:col>
      <xdr:colOff>238126</xdr:colOff>
      <xdr:row>43</xdr:row>
      <xdr:rowOff>117475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504826</xdr:colOff>
      <xdr:row>0</xdr:row>
      <xdr:rowOff>6350</xdr:rowOff>
    </xdr:from>
    <xdr:to>
      <xdr:col>25</xdr:col>
      <xdr:colOff>146051</xdr:colOff>
      <xdr:row>21</xdr:row>
      <xdr:rowOff>79375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476250</xdr:colOff>
      <xdr:row>22</xdr:row>
      <xdr:rowOff>57150</xdr:rowOff>
    </xdr:from>
    <xdr:to>
      <xdr:col>25</xdr:col>
      <xdr:colOff>117475</xdr:colOff>
      <xdr:row>43</xdr:row>
      <xdr:rowOff>130175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314325</xdr:colOff>
      <xdr:row>3</xdr:row>
      <xdr:rowOff>38100</xdr:rowOff>
    </xdr:from>
    <xdr:to>
      <xdr:col>15</xdr:col>
      <xdr:colOff>57150</xdr:colOff>
      <xdr:row>6</xdr:row>
      <xdr:rowOff>0</xdr:rowOff>
    </xdr:to>
    <xdr:sp macro="" textlink="">
      <xdr:nvSpPr>
        <xdr:cNvPr id="6" name="TextBox 5"/>
        <xdr:cNvSpPr txBox="1"/>
      </xdr:nvSpPr>
      <xdr:spPr>
        <a:xfrm>
          <a:off x="8239125" y="609600"/>
          <a:ext cx="962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0</a:t>
          </a:r>
          <a:r>
            <a:rPr lang="en-US" sz="1100" baseline="0"/>
            <a:t> </a:t>
          </a:r>
          <a:r>
            <a:rPr lang="en-US" sz="1100"/>
            <a:t>= mixed</a:t>
          </a:r>
        </a:p>
        <a:p>
          <a:r>
            <a:rPr lang="en-US" sz="1100"/>
            <a:t>12 = 1-2 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219075</xdr:colOff>
      <xdr:row>21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22</xdr:row>
      <xdr:rowOff>44450</xdr:rowOff>
    </xdr:from>
    <xdr:to>
      <xdr:col>12</xdr:col>
      <xdr:colOff>238126</xdr:colOff>
      <xdr:row>43</xdr:row>
      <xdr:rowOff>117475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504826</xdr:colOff>
      <xdr:row>0</xdr:row>
      <xdr:rowOff>6350</xdr:rowOff>
    </xdr:from>
    <xdr:to>
      <xdr:col>25</xdr:col>
      <xdr:colOff>146051</xdr:colOff>
      <xdr:row>21</xdr:row>
      <xdr:rowOff>79375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476250</xdr:colOff>
      <xdr:row>22</xdr:row>
      <xdr:rowOff>57150</xdr:rowOff>
    </xdr:from>
    <xdr:to>
      <xdr:col>25</xdr:col>
      <xdr:colOff>117475</xdr:colOff>
      <xdr:row>43</xdr:row>
      <xdr:rowOff>130175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314325</xdr:colOff>
      <xdr:row>3</xdr:row>
      <xdr:rowOff>38101</xdr:rowOff>
    </xdr:from>
    <xdr:to>
      <xdr:col>15</xdr:col>
      <xdr:colOff>57150</xdr:colOff>
      <xdr:row>6</xdr:row>
      <xdr:rowOff>1</xdr:rowOff>
    </xdr:to>
    <xdr:sp macro="" textlink="">
      <xdr:nvSpPr>
        <xdr:cNvPr id="6" name="TextBox 5"/>
        <xdr:cNvSpPr txBox="1"/>
      </xdr:nvSpPr>
      <xdr:spPr>
        <a:xfrm>
          <a:off x="8239125" y="609601"/>
          <a:ext cx="962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0</a:t>
          </a:r>
          <a:r>
            <a:rPr lang="en-US" sz="1100" baseline="0"/>
            <a:t> </a:t>
          </a:r>
          <a:r>
            <a:rPr lang="en-US" sz="1100"/>
            <a:t>= mixed</a:t>
          </a:r>
        </a:p>
        <a:p>
          <a:r>
            <a:rPr lang="en-US" sz="1100"/>
            <a:t>13 = 2-4 Ma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219075</xdr:colOff>
      <xdr:row>21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9526</xdr:colOff>
      <xdr:row>22</xdr:row>
      <xdr:rowOff>44450</xdr:rowOff>
    </xdr:from>
    <xdr:to>
      <xdr:col>12</xdr:col>
      <xdr:colOff>238126</xdr:colOff>
      <xdr:row>43</xdr:row>
      <xdr:rowOff>117475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342901</xdr:colOff>
      <xdr:row>0</xdr:row>
      <xdr:rowOff>0</xdr:rowOff>
    </xdr:from>
    <xdr:to>
      <xdr:col>24</xdr:col>
      <xdr:colOff>593726</xdr:colOff>
      <xdr:row>21</xdr:row>
      <xdr:rowOff>73025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390525</xdr:colOff>
      <xdr:row>22</xdr:row>
      <xdr:rowOff>47625</xdr:rowOff>
    </xdr:from>
    <xdr:to>
      <xdr:col>25</xdr:col>
      <xdr:colOff>31750</xdr:colOff>
      <xdr:row>43</xdr:row>
      <xdr:rowOff>120650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114301</xdr:colOff>
      <xdr:row>2</xdr:row>
      <xdr:rowOff>28575</xdr:rowOff>
    </xdr:from>
    <xdr:to>
      <xdr:col>15</xdr:col>
      <xdr:colOff>523875</xdr:colOff>
      <xdr:row>8</xdr:row>
      <xdr:rowOff>19050</xdr:rowOff>
    </xdr:to>
    <xdr:sp macro="" textlink="">
      <xdr:nvSpPr>
        <xdr:cNvPr id="6" name="TextBox 5"/>
        <xdr:cNvSpPr txBox="1"/>
      </xdr:nvSpPr>
      <xdr:spPr>
        <a:xfrm>
          <a:off x="8648701" y="409575"/>
          <a:ext cx="1019174" cy="113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0 = mixed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6 = 5-10 ka</a:t>
          </a:r>
          <a:endParaRPr lang="en-US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7 = 10-30 ka</a:t>
          </a:r>
          <a:endParaRPr lang="en-US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9 = 50-140 ka</a:t>
          </a:r>
        </a:p>
        <a:p>
          <a:r>
            <a:rPr lang="en-US" sz="1100"/>
            <a:t>12 = 1-2 Ma</a:t>
          </a:r>
        </a:p>
        <a:p>
          <a:r>
            <a:rPr lang="en-US" sz="1100"/>
            <a:t>13 = 2-4 Ma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hia_sit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hia Sites"/>
      <sheetName val="Big Island plots"/>
      <sheetName val="Kauai plots"/>
      <sheetName val="Maui plots"/>
      <sheetName val="Oahu plots"/>
      <sheetName val="Statewide plots"/>
    </sheetNames>
    <sheetDataSet>
      <sheetData sheetId="0">
        <row r="1">
          <cell r="G1" t="str">
            <v>Elevation (m)</v>
          </cell>
          <cell r="I1" t="str">
            <v>Annual Rainfall (inches)</v>
          </cell>
          <cell r="J1" t="str">
            <v>Geologic Age (1=young, 14=old)</v>
          </cell>
        </row>
        <row r="2">
          <cell r="D2" t="str">
            <v>Chain of Craters Managed</v>
          </cell>
          <cell r="G2">
            <v>737.95805378555804</v>
          </cell>
          <cell r="I2">
            <v>87.581000000000003</v>
          </cell>
          <cell r="J2">
            <v>2</v>
          </cell>
        </row>
        <row r="3">
          <cell r="D3" t="str">
            <v>Chain of Craters Unmanaged</v>
          </cell>
          <cell r="G3">
            <v>731.71482089999995</v>
          </cell>
          <cell r="I3">
            <v>87.674000000000007</v>
          </cell>
          <cell r="J3">
            <v>2</v>
          </cell>
        </row>
        <row r="4">
          <cell r="D4" t="str">
            <v>Faya NPS</v>
          </cell>
          <cell r="G4">
            <v>1117.15039</v>
          </cell>
          <cell r="I4">
            <v>87.587000000000003</v>
          </cell>
          <cell r="J4">
            <v>2</v>
          </cell>
        </row>
        <row r="5">
          <cell r="D5" t="str">
            <v>Kau</v>
          </cell>
          <cell r="G5">
            <v>1080.5201786003299</v>
          </cell>
          <cell r="I5">
            <v>84.283000000000001</v>
          </cell>
          <cell r="J5">
            <v>3</v>
          </cell>
        </row>
        <row r="6">
          <cell r="D6" t="str">
            <v>Kohala</v>
          </cell>
          <cell r="G6">
            <v>1235.64447831079</v>
          </cell>
          <cell r="I6">
            <v>88.94</v>
          </cell>
          <cell r="J6">
            <v>10</v>
          </cell>
        </row>
        <row r="7">
          <cell r="D7" t="str">
            <v>Kona</v>
          </cell>
          <cell r="G7">
            <v>599.84615117552505</v>
          </cell>
          <cell r="I7">
            <v>46.874000000000002</v>
          </cell>
          <cell r="J7">
            <v>4</v>
          </cell>
        </row>
        <row r="8">
          <cell r="D8" t="str">
            <v>Lava Tree</v>
          </cell>
          <cell r="G8">
            <v>203.61714739999999</v>
          </cell>
          <cell r="I8">
            <v>123.69499999999999</v>
          </cell>
          <cell r="J8">
            <v>1</v>
          </cell>
        </row>
        <row r="9">
          <cell r="D9" t="str">
            <v>Malamaki</v>
          </cell>
          <cell r="G9">
            <v>15.9561068070242</v>
          </cell>
          <cell r="I9">
            <v>97.272999999999996</v>
          </cell>
          <cell r="J9">
            <v>1</v>
          </cell>
        </row>
        <row r="10">
          <cell r="D10" t="str">
            <v>Mauna Loa Road</v>
          </cell>
          <cell r="G10">
            <v>2049.2324331401001</v>
          </cell>
          <cell r="I10">
            <v>64.885000000000005</v>
          </cell>
          <cell r="J10">
            <v>4</v>
          </cell>
        </row>
        <row r="11">
          <cell r="D11" t="str">
            <v>Orchidland</v>
          </cell>
          <cell r="G11">
            <v>157.90654509999999</v>
          </cell>
          <cell r="I11">
            <v>143.00800000000001</v>
          </cell>
          <cell r="J11">
            <v>2</v>
          </cell>
        </row>
        <row r="12">
          <cell r="D12" t="str">
            <v>Piha</v>
          </cell>
          <cell r="G12">
            <v>537.31715928102301</v>
          </cell>
          <cell r="I12">
            <v>210.06200000000001</v>
          </cell>
          <cell r="J12">
            <v>9</v>
          </cell>
        </row>
        <row r="13">
          <cell r="D13" t="str">
            <v>Saddle 13</v>
          </cell>
          <cell r="G13">
            <v>1041.0659714034</v>
          </cell>
          <cell r="I13">
            <v>241.846</v>
          </cell>
          <cell r="J13">
            <v>1</v>
          </cell>
        </row>
        <row r="14">
          <cell r="D14" t="str">
            <v>saddle 19</v>
          </cell>
          <cell r="G14">
            <v>1490.8619329999999</v>
          </cell>
          <cell r="I14">
            <v>110.43300000000001</v>
          </cell>
          <cell r="J14">
            <v>1</v>
          </cell>
        </row>
        <row r="15">
          <cell r="D15" t="str">
            <v>Saddle Kipuka</v>
          </cell>
          <cell r="G15">
            <v>2035.7027559999999</v>
          </cell>
          <cell r="I15">
            <v>40.631999999999998</v>
          </cell>
          <cell r="J15">
            <v>7</v>
          </cell>
        </row>
        <row r="16">
          <cell r="D16" t="str">
            <v>Thurston NPS</v>
          </cell>
          <cell r="G16">
            <v>1200.1803782208201</v>
          </cell>
          <cell r="I16">
            <v>108.63</v>
          </cell>
          <cell r="J16">
            <v>2</v>
          </cell>
        </row>
        <row r="17">
          <cell r="D17" t="str">
            <v>Thurston State</v>
          </cell>
          <cell r="G17">
            <v>1206.6938398201701</v>
          </cell>
          <cell r="I17">
            <v>107.613</v>
          </cell>
          <cell r="J17">
            <v>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>
      <selection activeCell="A16" sqref="A16"/>
    </sheetView>
  </sheetViews>
  <sheetFormatPr defaultRowHeight="15"/>
  <cols>
    <col min="1" max="1" width="19.7109375" bestFit="1" customWidth="1"/>
    <col min="2" max="2" width="38.28515625" bestFit="1" customWidth="1"/>
    <col min="3" max="3" width="11.5703125" bestFit="1" customWidth="1"/>
    <col min="4" max="4" width="16" style="3" bestFit="1" customWidth="1"/>
    <col min="5" max="5" width="11.5703125" style="4" bestFit="1" customWidth="1"/>
    <col min="6" max="6" width="13.5703125" style="4" bestFit="1" customWidth="1"/>
    <col min="7" max="7" width="14.140625" style="4" bestFit="1" customWidth="1"/>
    <col min="8" max="8" width="13.85546875" style="4" bestFit="1" customWidth="1"/>
    <col min="9" max="9" width="24.42578125" style="43" bestFit="1" customWidth="1"/>
    <col min="10" max="10" width="32.5703125" style="57" bestFit="1" customWidth="1"/>
    <col min="11" max="11" width="34.140625" style="57" bestFit="1" customWidth="1"/>
    <col min="12" max="12" width="23" style="4" bestFit="1" customWidth="1"/>
    <col min="13" max="13" width="8.7109375" bestFit="1" customWidth="1"/>
    <col min="14" max="14" width="12.28515625" bestFit="1" customWidth="1"/>
    <col min="15" max="15" width="32.140625" bestFit="1" customWidth="1"/>
    <col min="16" max="16" width="51.140625" style="1" bestFit="1" customWidth="1"/>
    <col min="17" max="17" width="14.7109375" bestFit="1" customWidth="1"/>
    <col min="18" max="18" width="31.28515625" bestFit="1" customWidth="1"/>
  </cols>
  <sheetData>
    <row r="1" spans="1:19" s="2" customFormat="1" ht="15.75">
      <c r="A1" s="5" t="s">
        <v>0</v>
      </c>
      <c r="B1" s="5" t="s">
        <v>1</v>
      </c>
      <c r="C1" s="5" t="s">
        <v>29</v>
      </c>
      <c r="D1" s="6" t="s">
        <v>28</v>
      </c>
      <c r="E1" s="7" t="s">
        <v>40</v>
      </c>
      <c r="F1" s="7" t="s">
        <v>41</v>
      </c>
      <c r="G1" s="7" t="s">
        <v>52</v>
      </c>
      <c r="H1" s="7" t="s">
        <v>53</v>
      </c>
      <c r="I1" s="35" t="s">
        <v>54</v>
      </c>
      <c r="J1" s="49" t="s">
        <v>55</v>
      </c>
      <c r="K1" s="49" t="s">
        <v>56</v>
      </c>
      <c r="L1" s="44" t="s">
        <v>57</v>
      </c>
      <c r="M1" s="5" t="s">
        <v>43</v>
      </c>
      <c r="N1" s="5" t="s">
        <v>30</v>
      </c>
      <c r="O1" s="5" t="s">
        <v>65</v>
      </c>
      <c r="P1" s="5" t="s">
        <v>47</v>
      </c>
      <c r="Q1" s="5" t="s">
        <v>5</v>
      </c>
      <c r="R1" s="8"/>
    </row>
    <row r="2" spans="1:19" ht="15.75">
      <c r="A2" s="9" t="s">
        <v>38</v>
      </c>
      <c r="B2" s="9" t="s">
        <v>24</v>
      </c>
      <c r="C2" s="9" t="s">
        <v>33</v>
      </c>
      <c r="D2" s="15">
        <v>41547</v>
      </c>
      <c r="E2" s="16">
        <v>19.489650000000001</v>
      </c>
      <c r="F2" s="16">
        <v>-155.91098299999999</v>
      </c>
      <c r="G2" s="16">
        <v>443.380767822265</v>
      </c>
      <c r="H2" s="16">
        <f>G2*3.28084</f>
        <v>1454.6613583019998</v>
      </c>
      <c r="I2" s="37">
        <v>49.676000000000002</v>
      </c>
      <c r="J2" s="51">
        <v>6</v>
      </c>
      <c r="K2" s="51">
        <v>7500</v>
      </c>
      <c r="L2" s="16" t="s">
        <v>59</v>
      </c>
      <c r="M2" s="13">
        <v>8</v>
      </c>
      <c r="N2" s="9" t="s">
        <v>6</v>
      </c>
      <c r="O2" s="9">
        <v>2</v>
      </c>
      <c r="P2" s="13">
        <v>0.6</v>
      </c>
      <c r="Q2" s="9" t="s">
        <v>23</v>
      </c>
      <c r="R2" s="14"/>
    </row>
    <row r="3" spans="1:19" ht="15.75">
      <c r="A3" s="9" t="s">
        <v>38</v>
      </c>
      <c r="B3" s="9" t="s">
        <v>13</v>
      </c>
      <c r="C3" s="9" t="s">
        <v>32</v>
      </c>
      <c r="D3" s="15">
        <v>41518</v>
      </c>
      <c r="E3" s="16">
        <v>20.025417000000001</v>
      </c>
      <c r="F3" s="16">
        <v>-155.82218</v>
      </c>
      <c r="G3" s="16">
        <v>11.524121284484799</v>
      </c>
      <c r="H3" s="16">
        <f>G3*3.28084</f>
        <v>37.808798074989106</v>
      </c>
      <c r="I3" s="37">
        <v>10.645</v>
      </c>
      <c r="J3" s="51">
        <v>9</v>
      </c>
      <c r="K3" s="51">
        <v>95000</v>
      </c>
      <c r="L3" s="16" t="s">
        <v>61</v>
      </c>
      <c r="M3" s="13">
        <v>5</v>
      </c>
      <c r="N3" s="9" t="s">
        <v>4</v>
      </c>
      <c r="O3" s="9">
        <v>4.8</v>
      </c>
      <c r="P3" s="13">
        <v>1.8</v>
      </c>
      <c r="Q3" s="9" t="s">
        <v>12</v>
      </c>
      <c r="R3" s="14"/>
    </row>
    <row r="4" spans="1:19" ht="15.75">
      <c r="A4" s="9" t="s">
        <v>38</v>
      </c>
      <c r="B4" s="9" t="s">
        <v>58</v>
      </c>
      <c r="C4" s="9" t="s">
        <v>31</v>
      </c>
      <c r="D4" s="15">
        <v>41414</v>
      </c>
      <c r="E4" s="16">
        <v>19.774999999999999</v>
      </c>
      <c r="F4" s="16">
        <v>-155.42500000000001</v>
      </c>
      <c r="G4" s="16">
        <v>3075.53369140625</v>
      </c>
      <c r="H4" s="16">
        <f>G4*3.28084</f>
        <v>10090.333956113282</v>
      </c>
      <c r="I4" s="37">
        <v>30.253</v>
      </c>
      <c r="J4" s="51">
        <v>7</v>
      </c>
      <c r="K4" s="51">
        <v>20000</v>
      </c>
      <c r="L4" s="16" t="s">
        <v>60</v>
      </c>
      <c r="M4" s="13">
        <v>16</v>
      </c>
      <c r="N4" s="9" t="s">
        <v>4</v>
      </c>
      <c r="O4" s="9">
        <v>18</v>
      </c>
      <c r="P4" s="13">
        <v>2</v>
      </c>
      <c r="Q4" s="9" t="s">
        <v>44</v>
      </c>
      <c r="R4" s="14"/>
    </row>
    <row r="5" spans="1:19" ht="15.75">
      <c r="A5" s="9" t="s">
        <v>38</v>
      </c>
      <c r="B5" s="9" t="s">
        <v>20</v>
      </c>
      <c r="C5" s="9" t="s">
        <v>33</v>
      </c>
      <c r="D5" s="15">
        <v>41547</v>
      </c>
      <c r="E5" s="16">
        <v>20.025317000000001</v>
      </c>
      <c r="F5" s="16">
        <v>-155.82143300000001</v>
      </c>
      <c r="G5" s="16">
        <v>20.017572402954102</v>
      </c>
      <c r="H5" s="16">
        <f>G5*3.28084</f>
        <v>65.67445224250794</v>
      </c>
      <c r="I5" s="37">
        <v>10.718999999999999</v>
      </c>
      <c r="J5" s="51">
        <v>9</v>
      </c>
      <c r="K5" s="51">
        <v>95000</v>
      </c>
      <c r="L5" s="16" t="s">
        <v>61</v>
      </c>
      <c r="M5" s="13">
        <v>10</v>
      </c>
      <c r="N5" s="9" t="s">
        <v>6</v>
      </c>
      <c r="O5" s="9">
        <v>8.8000000000000007</v>
      </c>
      <c r="P5" s="13">
        <v>3.5</v>
      </c>
      <c r="Q5" s="9" t="s">
        <v>19</v>
      </c>
      <c r="R5" s="14"/>
    </row>
    <row r="6" spans="1:19" ht="15.75">
      <c r="A6" s="9" t="s">
        <v>38</v>
      </c>
      <c r="B6" s="9" t="s">
        <v>51</v>
      </c>
      <c r="C6" s="9" t="s">
        <v>33</v>
      </c>
      <c r="D6" s="15">
        <v>41547</v>
      </c>
      <c r="E6" s="16">
        <v>19.792783</v>
      </c>
      <c r="F6" s="16">
        <v>-155.642383</v>
      </c>
      <c r="G6" s="16">
        <v>1569.4501953125</v>
      </c>
      <c r="H6" s="16">
        <f>G6*3.28084</f>
        <v>5149.1149787890627</v>
      </c>
      <c r="I6" s="37">
        <v>22.327000000000002</v>
      </c>
      <c r="J6" s="51">
        <v>7</v>
      </c>
      <c r="K6" s="51">
        <v>20000</v>
      </c>
      <c r="L6" s="16" t="s">
        <v>60</v>
      </c>
      <c r="M6" s="13">
        <v>1</v>
      </c>
      <c r="N6" s="9" t="s">
        <v>4</v>
      </c>
      <c r="O6" s="9">
        <v>34.200000000000003</v>
      </c>
      <c r="P6" s="13"/>
      <c r="Q6" s="9" t="s">
        <v>17</v>
      </c>
      <c r="R6" s="14"/>
    </row>
    <row r="7" spans="1:19" ht="15.75">
      <c r="A7" s="9" t="s">
        <v>38</v>
      </c>
      <c r="B7" s="9" t="s">
        <v>48</v>
      </c>
      <c r="C7" s="9" t="s">
        <v>33</v>
      </c>
      <c r="D7" s="15">
        <v>41547</v>
      </c>
      <c r="E7" s="16">
        <v>19.792549999999999</v>
      </c>
      <c r="F7" s="16">
        <v>-155.66406699999999</v>
      </c>
      <c r="G7" s="16">
        <v>1438.32214355468</v>
      </c>
      <c r="H7" s="16">
        <f>G7*3.28084</f>
        <v>4718.9048214599361</v>
      </c>
      <c r="I7" s="37">
        <v>23.068999999999999</v>
      </c>
      <c r="J7" s="51">
        <v>7</v>
      </c>
      <c r="K7" s="51">
        <v>20000</v>
      </c>
      <c r="L7" s="16" t="s">
        <v>60</v>
      </c>
      <c r="M7" s="13">
        <v>7</v>
      </c>
      <c r="N7" s="9" t="s">
        <v>6</v>
      </c>
      <c r="O7" s="9">
        <v>58.5</v>
      </c>
      <c r="P7" s="13">
        <v>11.7</v>
      </c>
      <c r="Q7" s="9" t="s">
        <v>22</v>
      </c>
      <c r="R7" s="14"/>
    </row>
    <row r="8" spans="1:19" ht="15.75">
      <c r="A8" s="9" t="s">
        <v>38</v>
      </c>
      <c r="B8" s="9" t="s">
        <v>49</v>
      </c>
      <c r="C8" s="9" t="s">
        <v>33</v>
      </c>
      <c r="D8" s="15">
        <v>41547</v>
      </c>
      <c r="E8" s="16">
        <v>19.825050000000001</v>
      </c>
      <c r="F8" s="16">
        <v>-155.728883</v>
      </c>
      <c r="G8" s="16">
        <v>936.08038330078102</v>
      </c>
      <c r="H8" s="16">
        <f>G8*3.28084</f>
        <v>3071.1299647485343</v>
      </c>
      <c r="I8" s="37">
        <v>28.349</v>
      </c>
      <c r="J8" s="51">
        <v>7</v>
      </c>
      <c r="K8" s="51">
        <v>20000</v>
      </c>
      <c r="L8" s="16" t="s">
        <v>60</v>
      </c>
      <c r="M8" s="13">
        <v>1</v>
      </c>
      <c r="N8" s="9" t="s">
        <v>6</v>
      </c>
      <c r="O8" s="9">
        <v>91.8</v>
      </c>
      <c r="P8" s="13"/>
      <c r="Q8" s="9" t="s">
        <v>25</v>
      </c>
      <c r="R8" s="14"/>
    </row>
    <row r="9" spans="1:19" ht="15.75">
      <c r="A9" s="9" t="s">
        <v>38</v>
      </c>
      <c r="B9" s="9" t="s">
        <v>50</v>
      </c>
      <c r="C9" s="9" t="s">
        <v>33</v>
      </c>
      <c r="D9" s="15">
        <v>41547</v>
      </c>
      <c r="E9" s="16">
        <v>19.939616999999998</v>
      </c>
      <c r="F9" s="16">
        <v>-155.686217</v>
      </c>
      <c r="G9" s="16">
        <v>785.154296875</v>
      </c>
      <c r="H9" s="16">
        <f>G9*3.28084</f>
        <v>2575.9656233593751</v>
      </c>
      <c r="I9" s="37">
        <v>22.942</v>
      </c>
      <c r="J9" s="51">
        <v>7</v>
      </c>
      <c r="K9" s="51">
        <v>20000</v>
      </c>
      <c r="L9" s="16" t="s">
        <v>60</v>
      </c>
      <c r="M9" s="13">
        <v>1</v>
      </c>
      <c r="N9" s="9" t="s">
        <v>4</v>
      </c>
      <c r="O9" s="9">
        <v>126</v>
      </c>
      <c r="P9" s="13"/>
      <c r="Q9" s="9" t="s">
        <v>26</v>
      </c>
      <c r="R9" s="14"/>
    </row>
    <row r="10" spans="1:19" ht="15.75">
      <c r="A10" s="9" t="s">
        <v>38</v>
      </c>
      <c r="B10" s="9" t="s">
        <v>18</v>
      </c>
      <c r="C10" s="9" t="s">
        <v>33</v>
      </c>
      <c r="D10" s="15">
        <v>41547</v>
      </c>
      <c r="E10" s="16">
        <v>19.959783000000002</v>
      </c>
      <c r="F10" s="16">
        <v>-155.6808</v>
      </c>
      <c r="G10" s="16">
        <v>760.96343994140602</v>
      </c>
      <c r="H10" s="16">
        <f>G10*3.28084</f>
        <v>2496.5992922973624</v>
      </c>
      <c r="I10" s="37">
        <v>19.242999999999999</v>
      </c>
      <c r="J10" s="51">
        <v>9</v>
      </c>
      <c r="K10" s="51">
        <v>95000</v>
      </c>
      <c r="L10" s="16" t="s">
        <v>61</v>
      </c>
      <c r="M10" s="13">
        <v>3</v>
      </c>
      <c r="N10" s="9" t="s">
        <v>6</v>
      </c>
      <c r="O10" s="9">
        <v>31.7</v>
      </c>
      <c r="P10" s="13">
        <v>13.8</v>
      </c>
      <c r="Q10" s="9" t="s">
        <v>21</v>
      </c>
      <c r="R10" s="14"/>
    </row>
    <row r="11" spans="1:19" s="45" customFormat="1" ht="15.75">
      <c r="A11" s="17" t="s">
        <v>69</v>
      </c>
      <c r="B11" s="17" t="s">
        <v>68</v>
      </c>
      <c r="C11" s="17" t="s">
        <v>33</v>
      </c>
      <c r="D11" s="18">
        <v>41538</v>
      </c>
      <c r="E11" s="19">
        <v>20.804689</v>
      </c>
      <c r="F11" s="19">
        <v>-156.903875</v>
      </c>
      <c r="G11" s="19">
        <v>395.07015991210898</v>
      </c>
      <c r="H11" s="19">
        <f>G11*3.28084</f>
        <v>1296.1619834460437</v>
      </c>
      <c r="I11" s="38">
        <v>29.707999999999998</v>
      </c>
      <c r="J11" s="52">
        <v>12</v>
      </c>
      <c r="K11" s="52">
        <v>1500000</v>
      </c>
      <c r="L11" s="19" t="s">
        <v>62</v>
      </c>
      <c r="M11" s="20">
        <v>1</v>
      </c>
      <c r="N11" s="17" t="s">
        <v>4</v>
      </c>
      <c r="O11" s="17">
        <v>7.6</v>
      </c>
      <c r="P11" s="20"/>
      <c r="Q11" s="17" t="s">
        <v>16</v>
      </c>
      <c r="R11" s="58"/>
      <c r="S11" s="59"/>
    </row>
    <row r="12" spans="1:19" s="46" customFormat="1" ht="15.75">
      <c r="A12" s="21" t="s">
        <v>69</v>
      </c>
      <c r="B12" s="21" t="s">
        <v>10</v>
      </c>
      <c r="C12" s="21" t="s">
        <v>34</v>
      </c>
      <c r="D12" s="22">
        <v>41437</v>
      </c>
      <c r="E12" s="23">
        <v>20.892735999999999</v>
      </c>
      <c r="F12" s="23">
        <v>-156.48579699999999</v>
      </c>
      <c r="G12" s="23">
        <v>18.9390983581543</v>
      </c>
      <c r="H12" s="23">
        <f>G12*3.28084</f>
        <v>62.136151457366957</v>
      </c>
      <c r="I12" s="39">
        <v>19.472000000000001</v>
      </c>
      <c r="J12" s="53">
        <v>0</v>
      </c>
      <c r="K12" s="53"/>
      <c r="L12" s="23" t="s">
        <v>64</v>
      </c>
      <c r="M12" s="24">
        <v>14</v>
      </c>
      <c r="N12" s="21" t="s">
        <v>6</v>
      </c>
      <c r="O12" s="21">
        <v>7.2</v>
      </c>
      <c r="P12" s="24">
        <v>1.6</v>
      </c>
      <c r="Q12" s="21" t="s">
        <v>9</v>
      </c>
      <c r="R12" s="58"/>
      <c r="S12" s="59"/>
    </row>
    <row r="13" spans="1:19" s="47" customFormat="1" ht="15.75">
      <c r="A13" s="25" t="s">
        <v>69</v>
      </c>
      <c r="B13" s="25" t="s">
        <v>67</v>
      </c>
      <c r="C13" s="25" t="s">
        <v>33</v>
      </c>
      <c r="D13" s="27">
        <v>41427</v>
      </c>
      <c r="E13" s="28">
        <v>21.145717000000001</v>
      </c>
      <c r="F13" s="28">
        <v>-157.136617</v>
      </c>
      <c r="G13" s="28">
        <v>172.794677734375</v>
      </c>
      <c r="H13" s="28">
        <f>G13*3.28084</f>
        <v>566.91169049804682</v>
      </c>
      <c r="I13" s="41">
        <v>23.681000000000001</v>
      </c>
      <c r="J13" s="55">
        <v>12</v>
      </c>
      <c r="K13" s="55">
        <v>1500000</v>
      </c>
      <c r="L13" s="28" t="s">
        <v>62</v>
      </c>
      <c r="M13" s="29">
        <v>12</v>
      </c>
      <c r="N13" s="25" t="s">
        <v>6</v>
      </c>
      <c r="O13" s="25">
        <v>2.1</v>
      </c>
      <c r="P13" s="29">
        <v>0.1</v>
      </c>
      <c r="Q13" s="25" t="s">
        <v>7</v>
      </c>
      <c r="R13" s="58"/>
      <c r="S13" s="59"/>
    </row>
    <row r="14" spans="1:19" s="48" customFormat="1" ht="15.75">
      <c r="A14" s="30" t="s">
        <v>2</v>
      </c>
      <c r="B14" s="30" t="s">
        <v>15</v>
      </c>
      <c r="C14" s="30" t="s">
        <v>46</v>
      </c>
      <c r="D14" s="31">
        <v>41536</v>
      </c>
      <c r="E14" s="32">
        <v>21.520667</v>
      </c>
      <c r="F14" s="32">
        <v>-158.226167</v>
      </c>
      <c r="G14" s="32">
        <v>134.25796508789</v>
      </c>
      <c r="H14" s="32">
        <f>G14*3.28084</f>
        <v>440.47890217895304</v>
      </c>
      <c r="I14" s="42">
        <v>32.92</v>
      </c>
      <c r="J14" s="56">
        <v>13</v>
      </c>
      <c r="K14" s="56">
        <v>3000000</v>
      </c>
      <c r="L14" s="32" t="s">
        <v>63</v>
      </c>
      <c r="M14" s="33">
        <v>9</v>
      </c>
      <c r="N14" s="30" t="s">
        <v>4</v>
      </c>
      <c r="O14" s="30">
        <v>11.9</v>
      </c>
      <c r="P14" s="33">
        <v>2</v>
      </c>
      <c r="Q14" s="30" t="s">
        <v>14</v>
      </c>
      <c r="R14" s="58"/>
      <c r="S14" s="59"/>
    </row>
    <row r="15" spans="1:19" s="48" customFormat="1" ht="15.75">
      <c r="A15" s="30" t="s">
        <v>2</v>
      </c>
      <c r="B15" s="30" t="s">
        <v>3</v>
      </c>
      <c r="C15" s="30" t="s">
        <v>33</v>
      </c>
      <c r="D15" s="31">
        <v>41406</v>
      </c>
      <c r="E15" s="32">
        <v>21.288810999999999</v>
      </c>
      <c r="F15" s="32">
        <v>-157.68090599999999</v>
      </c>
      <c r="G15" s="32">
        <v>81.198989868164006</v>
      </c>
      <c r="H15" s="32">
        <f>G15*3.28084</f>
        <v>266.40089391906719</v>
      </c>
      <c r="I15" s="42">
        <v>29.757000000000001</v>
      </c>
      <c r="J15" s="56">
        <v>0</v>
      </c>
      <c r="K15" s="56"/>
      <c r="L15" s="32" t="s">
        <v>64</v>
      </c>
      <c r="M15" s="33">
        <v>5</v>
      </c>
      <c r="N15" s="30" t="s">
        <v>4</v>
      </c>
      <c r="O15" s="30"/>
      <c r="P15" s="33"/>
      <c r="Q15" s="30" t="s">
        <v>45</v>
      </c>
      <c r="R15" s="58"/>
      <c r="S15" s="59"/>
    </row>
    <row r="21" spans="1:19">
      <c r="A21" s="61" t="s">
        <v>66</v>
      </c>
    </row>
    <row r="22" spans="1:19" ht="15.75">
      <c r="A22" s="9" t="s">
        <v>38</v>
      </c>
      <c r="B22" s="10" t="s">
        <v>27</v>
      </c>
      <c r="C22" s="9" t="s">
        <v>31</v>
      </c>
      <c r="D22" s="11" t="s">
        <v>39</v>
      </c>
      <c r="E22" s="12"/>
      <c r="F22" s="12"/>
      <c r="G22" s="12"/>
      <c r="H22" s="12"/>
      <c r="I22" s="36"/>
      <c r="J22" s="50"/>
      <c r="K22" s="50"/>
      <c r="L22" s="12"/>
      <c r="M22" s="13">
        <v>3</v>
      </c>
      <c r="N22" s="9" t="s">
        <v>4</v>
      </c>
      <c r="O22" s="9">
        <v>50</v>
      </c>
      <c r="P22" s="13">
        <v>9.3000000000000007</v>
      </c>
      <c r="Q22" s="9" t="s">
        <v>11</v>
      </c>
      <c r="R22" s="14"/>
    </row>
    <row r="23" spans="1:19" s="47" customFormat="1" ht="15.75">
      <c r="A23" s="25" t="s">
        <v>8</v>
      </c>
      <c r="B23" s="26" t="s">
        <v>35</v>
      </c>
      <c r="C23" s="25" t="s">
        <v>36</v>
      </c>
      <c r="D23" s="27">
        <v>41717</v>
      </c>
      <c r="E23" s="34"/>
      <c r="F23" s="34"/>
      <c r="G23" s="34"/>
      <c r="H23" s="28"/>
      <c r="I23" s="40"/>
      <c r="J23" s="54"/>
      <c r="K23" s="54"/>
      <c r="L23" s="34"/>
      <c r="M23" s="29">
        <v>9</v>
      </c>
      <c r="N23" s="25" t="s">
        <v>4</v>
      </c>
      <c r="O23" s="25">
        <v>0</v>
      </c>
      <c r="P23" s="29">
        <v>0</v>
      </c>
      <c r="Q23" s="25" t="s">
        <v>37</v>
      </c>
      <c r="R23" s="60" t="s">
        <v>42</v>
      </c>
      <c r="S23" s="59"/>
    </row>
  </sheetData>
  <sortState ref="A2:Q15">
    <sortCondition ref="A2:A15"/>
    <sortCondition ref="B2:B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A4" sqref="AA4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A7" sqref="AA7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B10" sqref="AB10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Z7:Z16"/>
  <sheetViews>
    <sheetView workbookViewId="0">
      <selection activeCell="Z6" sqref="Z6"/>
    </sheetView>
  </sheetViews>
  <sheetFormatPr defaultRowHeight="15"/>
  <sheetData>
    <row r="7" spans="26:26">
      <c r="Z7" s="62"/>
    </row>
    <row r="8" spans="26:26">
      <c r="Z8" s="62"/>
    </row>
    <row r="9" spans="26:26">
      <c r="Z9" s="62"/>
    </row>
    <row r="10" spans="26:26">
      <c r="Z10" s="62"/>
    </row>
    <row r="11" spans="26:26">
      <c r="Z11" s="62"/>
    </row>
    <row r="12" spans="26:26">
      <c r="Z12" s="62"/>
    </row>
    <row r="13" spans="26:26">
      <c r="Z13" s="62"/>
    </row>
    <row r="14" spans="26:26">
      <c r="Z14" s="62"/>
    </row>
    <row r="15" spans="26:26">
      <c r="Z15" s="62"/>
    </row>
    <row r="16" spans="26:26">
      <c r="Z16" s="6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Pua Kala sites</vt:lpstr>
      <vt:lpstr>Big Island plots</vt:lpstr>
      <vt:lpstr>Maui County plots</vt:lpstr>
      <vt:lpstr>Oahu plots</vt:lpstr>
      <vt:lpstr>Statewide plots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Kasey Barton</dc:creator>
  <cp:lastModifiedBy>John Maurer</cp:lastModifiedBy>
  <cp:lastPrinted>2013-12-12T19:37:23Z</cp:lastPrinted>
  <dcterms:created xsi:type="dcterms:W3CDTF">2013-12-12T19:03:46Z</dcterms:created>
  <dcterms:modified xsi:type="dcterms:W3CDTF">2014-04-16T20:05:12Z</dcterms:modified>
</cp:coreProperties>
</file>