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240" yWindow="0" windowWidth="25365" windowHeight="15945" tabRatio="500"/>
  </bookViews>
  <sheets>
    <sheet name="Ohia Sites" sheetId="1" r:id="rId1"/>
    <sheet name="Big Island plots" sheetId="5" r:id="rId2"/>
    <sheet name="Kauai plots" sheetId="6" r:id="rId3"/>
    <sheet name="Maui plots" sheetId="7" r:id="rId4"/>
    <sheet name="Oahu plots" sheetId="9" r:id="rId5"/>
    <sheet name="Statewide plots" sheetId="8" r:id="rId6"/>
  </sheet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1"/>
  <c r="H33"/>
  <c r="H31"/>
  <c r="H28"/>
  <c r="H34"/>
  <c r="H30"/>
  <c r="H29"/>
  <c r="H20"/>
  <c r="H27"/>
  <c r="H26"/>
  <c r="H25"/>
  <c r="H24"/>
  <c r="H23"/>
  <c r="H22"/>
  <c r="H21"/>
  <c r="H19"/>
  <c r="H18"/>
  <c r="H15"/>
  <c r="H4"/>
  <c r="H3"/>
  <c r="H8"/>
  <c r="H11"/>
  <c r="H5"/>
  <c r="H6"/>
  <c r="H7"/>
  <c r="H9"/>
  <c r="H10"/>
  <c r="H12"/>
  <c r="H13"/>
  <c r="H14"/>
  <c r="H16"/>
  <c r="H17"/>
  <c r="H2"/>
</calcChain>
</file>

<file path=xl/sharedStrings.xml><?xml version="1.0" encoding="utf-8"?>
<sst xmlns="http://schemas.openxmlformats.org/spreadsheetml/2006/main" count="111" uniqueCount="59">
  <si>
    <t>Easting</t>
  </si>
  <si>
    <t>Northing</t>
  </si>
  <si>
    <t>saddle 19</t>
  </si>
  <si>
    <t>Annual Rainfall (inches)</t>
  </si>
  <si>
    <t>Geological Age (years)</t>
  </si>
  <si>
    <t>0-200</t>
  </si>
  <si>
    <t>200-750</t>
  </si>
  <si>
    <t>750-1500</t>
  </si>
  <si>
    <t>1500-3000</t>
  </si>
  <si>
    <t>Latitude</t>
  </si>
  <si>
    <t>Longitude</t>
  </si>
  <si>
    <t>Elevation (m)</t>
  </si>
  <si>
    <t>Elevation (ft)</t>
  </si>
  <si>
    <t>140-780 k</t>
  </si>
  <si>
    <t>50-140 k</t>
  </si>
  <si>
    <t>Geological Age (midrange)(years)</t>
  </si>
  <si>
    <t>10-30 k</t>
  </si>
  <si>
    <t>Site</t>
  </si>
  <si>
    <t>Chain of Craters Managed</t>
  </si>
  <si>
    <t>Chain of Craters Unmanaged</t>
  </si>
  <si>
    <t>Faya NPS</t>
  </si>
  <si>
    <t>Kau</t>
  </si>
  <si>
    <t>Kohala</t>
  </si>
  <si>
    <t>Kona</t>
  </si>
  <si>
    <t>Lava Tree</t>
  </si>
  <si>
    <t>Malamaki</t>
  </si>
  <si>
    <t>Mauna Loa Road</t>
  </si>
  <si>
    <t>Orchidland</t>
  </si>
  <si>
    <t>Piha</t>
  </si>
  <si>
    <t>Saddle 13</t>
  </si>
  <si>
    <t>Saddle Kipuka</t>
  </si>
  <si>
    <t>Thurston NPS</t>
  </si>
  <si>
    <t>Thurston State</t>
  </si>
  <si>
    <t>Island</t>
  </si>
  <si>
    <t>Big Island</t>
  </si>
  <si>
    <t>Kauai</t>
  </si>
  <si>
    <t>Kokee Lodge</t>
  </si>
  <si>
    <t>Kuilau</t>
  </si>
  <si>
    <t>Okolehao</t>
  </si>
  <si>
    <t>Pihea Trail</t>
  </si>
  <si>
    <t>Maui</t>
  </si>
  <si>
    <t>Camp Site Transect 3</t>
  </si>
  <si>
    <t>Kahakapao</t>
  </si>
  <si>
    <t>Kula</t>
  </si>
  <si>
    <t>Maile Trail</t>
  </si>
  <si>
    <t>Waihee</t>
  </si>
  <si>
    <t>Geologic Age (1=young, 14=old)</t>
  </si>
  <si>
    <t>4-6 M</t>
  </si>
  <si>
    <t>1-2 M</t>
  </si>
  <si>
    <t>Limahuli</t>
  </si>
  <si>
    <t>Oahu</t>
  </si>
  <si>
    <t>Hawaii Loa Ridge</t>
  </si>
  <si>
    <t>Kahanahaiki</t>
  </si>
  <si>
    <t>Waimea Catchpin</t>
  </si>
  <si>
    <t>2-4 M</t>
  </si>
  <si>
    <t>Poamoho</t>
  </si>
  <si>
    <t>Palikea</t>
  </si>
  <si>
    <t>Aiea</t>
  </si>
  <si>
    <t>Maunawili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</si>
</sst>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Big Island: Elevation (m)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'Ohia Sites'!$G$1</c:f>
              <c:strCache>
                <c:ptCount val="1"/>
                <c:pt idx="0">
                  <c:v>Elevation (m)</c:v>
                </c:pt>
              </c:strCache>
            </c:strRef>
          </c:tx>
          <c:cat>
            <c:strRef>
              <c:f>'Ohia Sites'!$D$2:$D$17</c:f>
              <c:strCache>
                <c:ptCount val="16"/>
                <c:pt idx="0">
                  <c:v>Chain of Craters Managed</c:v>
                </c:pt>
                <c:pt idx="1">
                  <c:v>Chain of Craters Unmanaged</c:v>
                </c:pt>
                <c:pt idx="2">
                  <c:v>Faya NPS</c:v>
                </c:pt>
                <c:pt idx="3">
                  <c:v>Kau</c:v>
                </c:pt>
                <c:pt idx="4">
                  <c:v>Kohala</c:v>
                </c:pt>
                <c:pt idx="5">
                  <c:v>Kona</c:v>
                </c:pt>
                <c:pt idx="6">
                  <c:v>Lava Tree</c:v>
                </c:pt>
                <c:pt idx="7">
                  <c:v>Malamaki</c:v>
                </c:pt>
                <c:pt idx="8">
                  <c:v>Mauna Loa Road</c:v>
                </c:pt>
                <c:pt idx="9">
                  <c:v>Orchidland</c:v>
                </c:pt>
                <c:pt idx="10">
                  <c:v>Piha</c:v>
                </c:pt>
                <c:pt idx="11">
                  <c:v>Saddle 13</c:v>
                </c:pt>
                <c:pt idx="12">
                  <c:v>saddle 19</c:v>
                </c:pt>
                <c:pt idx="13">
                  <c:v>Saddle Kipuka</c:v>
                </c:pt>
                <c:pt idx="14">
                  <c:v>Thurston NPS</c:v>
                </c:pt>
                <c:pt idx="15">
                  <c:v>Thurston State</c:v>
                </c:pt>
              </c:strCache>
            </c:strRef>
          </c:cat>
          <c:val>
            <c:numRef>
              <c:f>'Ohia Sites'!$G$2:$G$17</c:f>
              <c:numCache>
                <c:formatCode>General</c:formatCode>
                <c:ptCount val="16"/>
                <c:pt idx="0">
                  <c:v>737.95805378555804</c:v>
                </c:pt>
                <c:pt idx="1">
                  <c:v>731.71482089999995</c:v>
                </c:pt>
                <c:pt idx="2">
                  <c:v>1117.15039</c:v>
                </c:pt>
                <c:pt idx="3">
                  <c:v>1080.5201786003299</c:v>
                </c:pt>
                <c:pt idx="4">
                  <c:v>1235.64447831079</c:v>
                </c:pt>
                <c:pt idx="5">
                  <c:v>599.84615117552505</c:v>
                </c:pt>
                <c:pt idx="6">
                  <c:v>203.61714739999999</c:v>
                </c:pt>
                <c:pt idx="7">
                  <c:v>15.9561068070242</c:v>
                </c:pt>
                <c:pt idx="8">
                  <c:v>2049.2324331401001</c:v>
                </c:pt>
                <c:pt idx="9">
                  <c:v>157.90654509999999</c:v>
                </c:pt>
                <c:pt idx="10">
                  <c:v>537.31715928102301</c:v>
                </c:pt>
                <c:pt idx="11">
                  <c:v>1041.0659714034</c:v>
                </c:pt>
                <c:pt idx="12">
                  <c:v>1490.8619329999999</c:v>
                </c:pt>
                <c:pt idx="13">
                  <c:v>2035.7027559999999</c:v>
                </c:pt>
                <c:pt idx="14">
                  <c:v>1200.1803782208201</c:v>
                </c:pt>
                <c:pt idx="15">
                  <c:v>1206.6938398201701</c:v>
                </c:pt>
              </c:numCache>
            </c:numRef>
          </c:val>
        </c:ser>
        <c:axId val="82179200"/>
        <c:axId val="82180736"/>
      </c:barChart>
      <c:catAx>
        <c:axId val="82179200"/>
        <c:scaling>
          <c:orientation val="minMax"/>
        </c:scaling>
        <c:axPos val="b"/>
        <c:tickLblPos val="nextTo"/>
        <c:crossAx val="82180736"/>
        <c:crosses val="autoZero"/>
        <c:auto val="1"/>
        <c:lblAlgn val="ctr"/>
        <c:lblOffset val="100"/>
      </c:catAx>
      <c:valAx>
        <c:axId val="82180736"/>
        <c:scaling>
          <c:orientation val="minMax"/>
        </c:scaling>
        <c:axPos val="l"/>
        <c:majorGridlines/>
        <c:numFmt formatCode="General" sourceLinked="1"/>
        <c:tickLblPos val="nextTo"/>
        <c:crossAx val="82179200"/>
        <c:crosses val="autoZero"/>
        <c:crossBetween val="between"/>
      </c:valAx>
    </c:plotArea>
    <c:plotVisOnly val="1"/>
    <c:dispBlanksAs val="gap"/>
  </c:chart>
  <c:printSettings>
    <c:headerFooter/>
    <c:pageMargins b="1" l="0.75000000000000144" r="0.750000000000001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Big Island: Annual Rainfall (inches)</a:t>
            </a:r>
          </a:p>
        </c:rich>
      </c:tx>
    </c:title>
    <c:plotArea>
      <c:layout>
        <c:manualLayout>
          <c:layoutTarget val="inner"/>
          <c:xMode val="edge"/>
          <c:yMode val="edge"/>
          <c:x val="3.1176756774629381E-2"/>
          <c:y val="0.14677337195672072"/>
          <c:w val="0.94962708245752525"/>
          <c:h val="0.71460884614676556"/>
        </c:manualLayout>
      </c:layout>
      <c:barChart>
        <c:barDir val="col"/>
        <c:grouping val="clustered"/>
        <c:ser>
          <c:idx val="0"/>
          <c:order val="0"/>
          <c:tx>
            <c:strRef>
              <c:f>'Ohia Sites'!$I$1</c:f>
              <c:strCache>
                <c:ptCount val="1"/>
                <c:pt idx="0">
                  <c:v>Annual Rainfall (inches)</c:v>
                </c:pt>
              </c:strCache>
            </c:strRef>
          </c:tx>
          <c:cat>
            <c:strRef>
              <c:f>'Ohia Sites'!$D$2:$D$17</c:f>
              <c:strCache>
                <c:ptCount val="16"/>
                <c:pt idx="0">
                  <c:v>Chain of Craters Managed</c:v>
                </c:pt>
                <c:pt idx="1">
                  <c:v>Chain of Craters Unmanaged</c:v>
                </c:pt>
                <c:pt idx="2">
                  <c:v>Faya NPS</c:v>
                </c:pt>
                <c:pt idx="3">
                  <c:v>Kau</c:v>
                </c:pt>
                <c:pt idx="4">
                  <c:v>Kohala</c:v>
                </c:pt>
                <c:pt idx="5">
                  <c:v>Kona</c:v>
                </c:pt>
                <c:pt idx="6">
                  <c:v>Lava Tree</c:v>
                </c:pt>
                <c:pt idx="7">
                  <c:v>Malamaki</c:v>
                </c:pt>
                <c:pt idx="8">
                  <c:v>Mauna Loa Road</c:v>
                </c:pt>
                <c:pt idx="9">
                  <c:v>Orchidland</c:v>
                </c:pt>
                <c:pt idx="10">
                  <c:v>Piha</c:v>
                </c:pt>
                <c:pt idx="11">
                  <c:v>Saddle 13</c:v>
                </c:pt>
                <c:pt idx="12">
                  <c:v>saddle 19</c:v>
                </c:pt>
                <c:pt idx="13">
                  <c:v>Saddle Kipuka</c:v>
                </c:pt>
                <c:pt idx="14">
                  <c:v>Thurston NPS</c:v>
                </c:pt>
                <c:pt idx="15">
                  <c:v>Thurston State</c:v>
                </c:pt>
              </c:strCache>
            </c:strRef>
          </c:cat>
          <c:val>
            <c:numRef>
              <c:f>'Ohia Sites'!$I$2:$I$17</c:f>
              <c:numCache>
                <c:formatCode>General</c:formatCode>
                <c:ptCount val="16"/>
                <c:pt idx="0">
                  <c:v>87.581000000000003</c:v>
                </c:pt>
                <c:pt idx="1">
                  <c:v>87.674000000000007</c:v>
                </c:pt>
                <c:pt idx="2">
                  <c:v>87.587000000000003</c:v>
                </c:pt>
                <c:pt idx="3">
                  <c:v>84.283000000000001</c:v>
                </c:pt>
                <c:pt idx="4">
                  <c:v>88.94</c:v>
                </c:pt>
                <c:pt idx="5">
                  <c:v>46.874000000000002</c:v>
                </c:pt>
                <c:pt idx="6">
                  <c:v>123.69499999999999</c:v>
                </c:pt>
                <c:pt idx="7">
                  <c:v>97.272999999999996</c:v>
                </c:pt>
                <c:pt idx="8">
                  <c:v>64.885000000000005</c:v>
                </c:pt>
                <c:pt idx="9">
                  <c:v>143.00800000000001</c:v>
                </c:pt>
                <c:pt idx="10">
                  <c:v>210.06200000000001</c:v>
                </c:pt>
                <c:pt idx="11">
                  <c:v>241.846</c:v>
                </c:pt>
                <c:pt idx="12">
                  <c:v>110.43300000000001</c:v>
                </c:pt>
                <c:pt idx="13">
                  <c:v>40.631999999999998</c:v>
                </c:pt>
                <c:pt idx="14">
                  <c:v>108.63</c:v>
                </c:pt>
                <c:pt idx="15">
                  <c:v>107.613</c:v>
                </c:pt>
              </c:numCache>
            </c:numRef>
          </c:val>
        </c:ser>
        <c:axId val="83335424"/>
        <c:axId val="84672512"/>
      </c:barChart>
      <c:catAx>
        <c:axId val="83335424"/>
        <c:scaling>
          <c:orientation val="minMax"/>
        </c:scaling>
        <c:axPos val="b"/>
        <c:tickLblPos val="nextTo"/>
        <c:crossAx val="84672512"/>
        <c:crosses val="autoZero"/>
        <c:auto val="1"/>
        <c:lblAlgn val="ctr"/>
        <c:lblOffset val="100"/>
      </c:catAx>
      <c:valAx>
        <c:axId val="84672512"/>
        <c:scaling>
          <c:orientation val="minMax"/>
        </c:scaling>
        <c:axPos val="l"/>
        <c:majorGridlines/>
        <c:numFmt formatCode="General" sourceLinked="1"/>
        <c:tickLblPos val="nextTo"/>
        <c:crossAx val="83335424"/>
        <c:crosses val="autoZero"/>
        <c:crossBetween val="between"/>
      </c:valAx>
    </c:plotArea>
    <c:plotVisOnly val="1"/>
    <c:dispBlanksAs val="gap"/>
  </c:chart>
  <c:printSettings>
    <c:headerFooter/>
    <c:pageMargins b="1" l="0.75000000000000144" r="0.750000000000001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Big Island: Geologic Age (1=youngest, 10=oldest)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'Ohia Sites'!$J$1</c:f>
              <c:strCache>
                <c:ptCount val="1"/>
                <c:pt idx="0">
                  <c:v>Geologic Age (1=young, 14=old)</c:v>
                </c:pt>
              </c:strCache>
            </c:strRef>
          </c:tx>
          <c:cat>
            <c:strRef>
              <c:f>'Ohia Sites'!$D$2:$D$17</c:f>
              <c:strCache>
                <c:ptCount val="16"/>
                <c:pt idx="0">
                  <c:v>Chain of Craters Managed</c:v>
                </c:pt>
                <c:pt idx="1">
                  <c:v>Chain of Craters Unmanaged</c:v>
                </c:pt>
                <c:pt idx="2">
                  <c:v>Faya NPS</c:v>
                </c:pt>
                <c:pt idx="3">
                  <c:v>Kau</c:v>
                </c:pt>
                <c:pt idx="4">
                  <c:v>Kohala</c:v>
                </c:pt>
                <c:pt idx="5">
                  <c:v>Kona</c:v>
                </c:pt>
                <c:pt idx="6">
                  <c:v>Lava Tree</c:v>
                </c:pt>
                <c:pt idx="7">
                  <c:v>Malamaki</c:v>
                </c:pt>
                <c:pt idx="8">
                  <c:v>Mauna Loa Road</c:v>
                </c:pt>
                <c:pt idx="9">
                  <c:v>Orchidland</c:v>
                </c:pt>
                <c:pt idx="10">
                  <c:v>Piha</c:v>
                </c:pt>
                <c:pt idx="11">
                  <c:v>Saddle 13</c:v>
                </c:pt>
                <c:pt idx="12">
                  <c:v>saddle 19</c:v>
                </c:pt>
                <c:pt idx="13">
                  <c:v>Saddle Kipuka</c:v>
                </c:pt>
                <c:pt idx="14">
                  <c:v>Thurston NPS</c:v>
                </c:pt>
                <c:pt idx="15">
                  <c:v>Thurston State</c:v>
                </c:pt>
              </c:strCache>
            </c:strRef>
          </c:cat>
          <c:val>
            <c:numRef>
              <c:f>'Ohia Sites'!$J$2:$J$17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9</c:v>
                </c:pt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</c:ser>
        <c:axId val="84687872"/>
        <c:axId val="84689664"/>
      </c:barChart>
      <c:catAx>
        <c:axId val="84687872"/>
        <c:scaling>
          <c:orientation val="minMax"/>
        </c:scaling>
        <c:axPos val="b"/>
        <c:tickLblPos val="nextTo"/>
        <c:crossAx val="84689664"/>
        <c:crossesAt val="0"/>
        <c:auto val="1"/>
        <c:lblAlgn val="ctr"/>
        <c:lblOffset val="100"/>
      </c:catAx>
      <c:valAx>
        <c:axId val="84689664"/>
        <c:scaling>
          <c:orientation val="minMax"/>
        </c:scaling>
        <c:axPos val="l"/>
        <c:majorGridlines/>
        <c:numFmt formatCode="General" sourceLinked="1"/>
        <c:tickLblPos val="nextTo"/>
        <c:crossAx val="84687872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Kauai: Elevation (m)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Sites'!$D$18:$D$22</c:f>
              <c:strCache>
                <c:ptCount val="5"/>
                <c:pt idx="0">
                  <c:v>Kokee Lodge</c:v>
                </c:pt>
                <c:pt idx="1">
                  <c:v>Kuilau</c:v>
                </c:pt>
                <c:pt idx="2">
                  <c:v>Limahuli</c:v>
                </c:pt>
                <c:pt idx="3">
                  <c:v>Okolehao</c:v>
                </c:pt>
                <c:pt idx="4">
                  <c:v>Pihea Trail</c:v>
                </c:pt>
              </c:strCache>
            </c:strRef>
          </c:cat>
          <c:val>
            <c:numRef>
              <c:f>'Ohia Sites'!$G$18:$G$22</c:f>
              <c:numCache>
                <c:formatCode>General</c:formatCode>
                <c:ptCount val="5"/>
                <c:pt idx="0">
                  <c:v>1127.46349802445</c:v>
                </c:pt>
                <c:pt idx="1">
                  <c:v>329.45177404324397</c:v>
                </c:pt>
                <c:pt idx="2">
                  <c:v>145.37334768384801</c:v>
                </c:pt>
                <c:pt idx="3">
                  <c:v>358.16338957972499</c:v>
                </c:pt>
                <c:pt idx="4">
                  <c:v>1225.7626469812401</c:v>
                </c:pt>
              </c:numCache>
            </c:numRef>
          </c:val>
        </c:ser>
        <c:axId val="85598976"/>
        <c:axId val="85600512"/>
      </c:barChart>
      <c:catAx>
        <c:axId val="85598976"/>
        <c:scaling>
          <c:orientation val="minMax"/>
        </c:scaling>
        <c:axPos val="b"/>
        <c:tickLblPos val="nextTo"/>
        <c:crossAx val="85600512"/>
        <c:crosses val="autoZero"/>
        <c:auto val="1"/>
        <c:lblAlgn val="ctr"/>
        <c:lblOffset val="100"/>
      </c:catAx>
      <c:valAx>
        <c:axId val="85600512"/>
        <c:scaling>
          <c:orientation val="minMax"/>
        </c:scaling>
        <c:axPos val="l"/>
        <c:majorGridlines/>
        <c:numFmt formatCode="General" sourceLinked="1"/>
        <c:tickLblPos val="nextTo"/>
        <c:crossAx val="85598976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Kauai: Annual Rainfall (inches)</a:t>
            </a:r>
          </a:p>
        </c:rich>
      </c:tx>
    </c:title>
    <c:plotArea>
      <c:layout>
        <c:manualLayout>
          <c:layoutTarget val="inner"/>
          <c:xMode val="edge"/>
          <c:yMode val="edge"/>
          <c:x val="3.1176756774629395E-2"/>
          <c:y val="0.14677337195672074"/>
          <c:w val="0.94962708245752558"/>
          <c:h val="0.7146088461467659"/>
        </c:manualLayout>
      </c:layout>
      <c:barChart>
        <c:barDir val="col"/>
        <c:grouping val="clustered"/>
        <c:ser>
          <c:idx val="0"/>
          <c:order val="0"/>
          <c:cat>
            <c:strRef>
              <c:f>'Ohia Sites'!$D$18:$D$22</c:f>
              <c:strCache>
                <c:ptCount val="5"/>
                <c:pt idx="0">
                  <c:v>Kokee Lodge</c:v>
                </c:pt>
                <c:pt idx="1">
                  <c:v>Kuilau</c:v>
                </c:pt>
                <c:pt idx="2">
                  <c:v>Limahuli</c:v>
                </c:pt>
                <c:pt idx="3">
                  <c:v>Okolehao</c:v>
                </c:pt>
                <c:pt idx="4">
                  <c:v>Pihea Trail</c:v>
                </c:pt>
              </c:strCache>
            </c:strRef>
          </c:cat>
          <c:val>
            <c:numRef>
              <c:f>'Ohia Sites'!$I$18:$I$22</c:f>
              <c:numCache>
                <c:formatCode>General</c:formatCode>
                <c:ptCount val="5"/>
                <c:pt idx="0">
                  <c:v>59.857999999999997</c:v>
                </c:pt>
                <c:pt idx="1">
                  <c:v>116.84099999999999</c:v>
                </c:pt>
                <c:pt idx="2">
                  <c:v>101.53</c:v>
                </c:pt>
                <c:pt idx="3">
                  <c:v>96.762</c:v>
                </c:pt>
                <c:pt idx="4">
                  <c:v>85.948999999999998</c:v>
                </c:pt>
              </c:numCache>
            </c:numRef>
          </c:val>
        </c:ser>
        <c:axId val="85620224"/>
        <c:axId val="85621760"/>
      </c:barChart>
      <c:catAx>
        <c:axId val="85620224"/>
        <c:scaling>
          <c:orientation val="minMax"/>
        </c:scaling>
        <c:axPos val="b"/>
        <c:tickLblPos val="nextTo"/>
        <c:crossAx val="85621760"/>
        <c:crosses val="autoZero"/>
        <c:auto val="1"/>
        <c:lblAlgn val="ctr"/>
        <c:lblOffset val="100"/>
      </c:catAx>
      <c:valAx>
        <c:axId val="85621760"/>
        <c:scaling>
          <c:orientation val="minMax"/>
        </c:scaling>
        <c:axPos val="l"/>
        <c:majorGridlines/>
        <c:numFmt formatCode="General" sourceLinked="1"/>
        <c:tickLblPos val="nextTo"/>
        <c:crossAx val="85620224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Kauai: Geologic Age (1=youngest, 14=oldest)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Sites'!$D$18:$D$22</c:f>
              <c:strCache>
                <c:ptCount val="5"/>
                <c:pt idx="0">
                  <c:v>Kokee Lodge</c:v>
                </c:pt>
                <c:pt idx="1">
                  <c:v>Kuilau</c:v>
                </c:pt>
                <c:pt idx="2">
                  <c:v>Limahuli</c:v>
                </c:pt>
                <c:pt idx="3">
                  <c:v>Okolehao</c:v>
                </c:pt>
                <c:pt idx="4">
                  <c:v>Pihea Trail</c:v>
                </c:pt>
              </c:strCache>
            </c:strRef>
          </c:cat>
          <c:val>
            <c:numRef>
              <c:f>'Ohia Sites'!$J$18:$J$22</c:f>
              <c:numCache>
                <c:formatCode>General</c:formatCode>
                <c:ptCount val="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axId val="85649664"/>
        <c:axId val="85725184"/>
      </c:barChart>
      <c:catAx>
        <c:axId val="85649664"/>
        <c:scaling>
          <c:orientation val="minMax"/>
        </c:scaling>
        <c:axPos val="b"/>
        <c:tickLblPos val="nextTo"/>
        <c:crossAx val="85725184"/>
        <c:crossesAt val="0"/>
        <c:auto val="1"/>
        <c:lblAlgn val="ctr"/>
        <c:lblOffset val="100"/>
      </c:catAx>
      <c:valAx>
        <c:axId val="85725184"/>
        <c:scaling>
          <c:orientation val="minMax"/>
        </c:scaling>
        <c:axPos val="l"/>
        <c:majorGridlines/>
        <c:numFmt formatCode="General" sourceLinked="1"/>
        <c:tickLblPos val="nextTo"/>
        <c:crossAx val="85649664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Maui: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Sites'!$D$23:$D$27</c:f>
              <c:strCache>
                <c:ptCount val="5"/>
                <c:pt idx="0">
                  <c:v>Camp Site Transect 3</c:v>
                </c:pt>
                <c:pt idx="1">
                  <c:v>Kahakapao</c:v>
                </c:pt>
                <c:pt idx="2">
                  <c:v>Kula</c:v>
                </c:pt>
                <c:pt idx="3">
                  <c:v>Maile Trail</c:v>
                </c:pt>
                <c:pt idx="4">
                  <c:v>Waihee</c:v>
                </c:pt>
              </c:strCache>
            </c:strRef>
          </c:cat>
          <c:val>
            <c:numRef>
              <c:f>'Ohia Sites'!$G$23:$G$27</c:f>
              <c:numCache>
                <c:formatCode>General</c:formatCode>
                <c:ptCount val="5"/>
                <c:pt idx="0">
                  <c:v>1867.2774944722901</c:v>
                </c:pt>
                <c:pt idx="1">
                  <c:v>880.91174451034703</c:v>
                </c:pt>
                <c:pt idx="2">
                  <c:v>1895.7322789355601</c:v>
                </c:pt>
                <c:pt idx="3">
                  <c:v>1415.4139690775301</c:v>
                </c:pt>
                <c:pt idx="4">
                  <c:v>641.39793698212895</c:v>
                </c:pt>
              </c:numCache>
            </c:numRef>
          </c:val>
        </c:ser>
        <c:axId val="85986304"/>
        <c:axId val="85988096"/>
      </c:barChart>
      <c:catAx>
        <c:axId val="85986304"/>
        <c:scaling>
          <c:orientation val="minMax"/>
        </c:scaling>
        <c:axPos val="b"/>
        <c:tickLblPos val="nextTo"/>
        <c:crossAx val="85988096"/>
        <c:crosses val="autoZero"/>
        <c:auto val="1"/>
        <c:lblAlgn val="ctr"/>
        <c:lblOffset val="100"/>
      </c:catAx>
      <c:valAx>
        <c:axId val="85988096"/>
        <c:scaling>
          <c:orientation val="minMax"/>
        </c:scaling>
        <c:axPos val="l"/>
        <c:majorGridlines/>
        <c:numFmt formatCode="General" sourceLinked="1"/>
        <c:tickLblPos val="nextTo"/>
        <c:crossAx val="85986304"/>
        <c:crosses val="autoZero"/>
        <c:crossBetween val="between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Maui: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406E-2"/>
          <c:y val="0.14677337195672074"/>
          <c:w val="0.94962708245752592"/>
          <c:h val="0.71460884614676612"/>
        </c:manualLayout>
      </c:layout>
      <c:barChart>
        <c:barDir val="col"/>
        <c:grouping val="clustered"/>
        <c:ser>
          <c:idx val="0"/>
          <c:order val="0"/>
          <c:cat>
            <c:strRef>
              <c:f>'Ohia Sites'!$D$23:$D$27</c:f>
              <c:strCache>
                <c:ptCount val="5"/>
                <c:pt idx="0">
                  <c:v>Camp Site Transect 3</c:v>
                </c:pt>
                <c:pt idx="1">
                  <c:v>Kahakapao</c:v>
                </c:pt>
                <c:pt idx="2">
                  <c:v>Kula</c:v>
                </c:pt>
                <c:pt idx="3">
                  <c:v>Maile Trail</c:v>
                </c:pt>
                <c:pt idx="4">
                  <c:v>Waihee</c:v>
                </c:pt>
              </c:strCache>
            </c:strRef>
          </c:cat>
          <c:val>
            <c:numRef>
              <c:f>'Ohia Sites'!$I$23:$I$27</c:f>
              <c:numCache>
                <c:formatCode>General</c:formatCode>
                <c:ptCount val="5"/>
                <c:pt idx="0">
                  <c:v>90.034000000000006</c:v>
                </c:pt>
                <c:pt idx="1">
                  <c:v>118.99</c:v>
                </c:pt>
                <c:pt idx="2">
                  <c:v>35.981999999999999</c:v>
                </c:pt>
                <c:pt idx="3">
                  <c:v>99.662000000000006</c:v>
                </c:pt>
                <c:pt idx="4">
                  <c:v>82.399000000000001</c:v>
                </c:pt>
              </c:numCache>
            </c:numRef>
          </c:val>
        </c:ser>
        <c:axId val="86011904"/>
        <c:axId val="86013440"/>
      </c:barChart>
      <c:catAx>
        <c:axId val="86011904"/>
        <c:scaling>
          <c:orientation val="minMax"/>
        </c:scaling>
        <c:axPos val="b"/>
        <c:tickLblPos val="nextTo"/>
        <c:crossAx val="86013440"/>
        <c:crosses val="autoZero"/>
        <c:auto val="1"/>
        <c:lblAlgn val="ctr"/>
        <c:lblOffset val="100"/>
      </c:catAx>
      <c:valAx>
        <c:axId val="86013440"/>
        <c:scaling>
          <c:orientation val="minMax"/>
        </c:scaling>
        <c:axPos val="l"/>
        <c:majorGridlines/>
        <c:numFmt formatCode="General" sourceLinked="1"/>
        <c:tickLblPos val="nextTo"/>
        <c:crossAx val="86011904"/>
        <c:crosses val="autoZero"/>
        <c:crossBetween val="between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Maui: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Sites'!$D$23:$D$27</c:f>
              <c:strCache>
                <c:ptCount val="5"/>
                <c:pt idx="0">
                  <c:v>Camp Site Transect 3</c:v>
                </c:pt>
                <c:pt idx="1">
                  <c:v>Kahakapao</c:v>
                </c:pt>
                <c:pt idx="2">
                  <c:v>Kula</c:v>
                </c:pt>
                <c:pt idx="3">
                  <c:v>Maile Trail</c:v>
                </c:pt>
                <c:pt idx="4">
                  <c:v>Waihee</c:v>
                </c:pt>
              </c:strCache>
            </c:strRef>
          </c:cat>
          <c:val>
            <c:numRef>
              <c:f>'Ohia Sites'!$J$23:$J$27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</c:numCache>
            </c:numRef>
          </c:val>
        </c:ser>
        <c:axId val="86041344"/>
        <c:axId val="86042880"/>
      </c:barChart>
      <c:catAx>
        <c:axId val="86041344"/>
        <c:scaling>
          <c:orientation val="minMax"/>
        </c:scaling>
        <c:axPos val="b"/>
        <c:tickLblPos val="nextTo"/>
        <c:crossAx val="86042880"/>
        <c:crossesAt val="0"/>
        <c:auto val="1"/>
        <c:lblAlgn val="ctr"/>
        <c:lblOffset val="100"/>
      </c:catAx>
      <c:valAx>
        <c:axId val="86042880"/>
        <c:scaling>
          <c:orientation val="minMax"/>
        </c:scaling>
        <c:axPos val="l"/>
        <c:majorGridlines/>
        <c:numFmt formatCode="General" sourceLinked="1"/>
        <c:tickLblPos val="nextTo"/>
        <c:crossAx val="86041344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Oahu: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Sites'!$D$28:$D$34</c:f>
              <c:strCache>
                <c:ptCount val="7"/>
                <c:pt idx="0">
                  <c:v>Aiea</c:v>
                </c:pt>
                <c:pt idx="1">
                  <c:v>Hawaii Loa Ridge</c:v>
                </c:pt>
                <c:pt idx="2">
                  <c:v>Kahanahaiki</c:v>
                </c:pt>
                <c:pt idx="3">
                  <c:v>Maunawili</c:v>
                </c:pt>
                <c:pt idx="4">
                  <c:v>Palikea</c:v>
                </c:pt>
                <c:pt idx="5">
                  <c:v>Poamoho</c:v>
                </c:pt>
                <c:pt idx="6">
                  <c:v>Waimea Catchpin</c:v>
                </c:pt>
              </c:strCache>
            </c:strRef>
          </c:cat>
          <c:val>
            <c:numRef>
              <c:f>'Ohia Sites'!$G$28:$G$34</c:f>
              <c:numCache>
                <c:formatCode>General</c:formatCode>
                <c:ptCount val="7"/>
                <c:pt idx="0">
                  <c:v>465.66637835815902</c:v>
                </c:pt>
                <c:pt idx="1">
                  <c:v>464.79471999999998</c:v>
                </c:pt>
                <c:pt idx="2">
                  <c:v>684.57781982421795</c:v>
                </c:pt>
                <c:pt idx="3">
                  <c:v>240.69883528174199</c:v>
                </c:pt>
                <c:pt idx="4">
                  <c:v>915.08373516028905</c:v>
                </c:pt>
                <c:pt idx="5">
                  <c:v>660.92463731049997</c:v>
                </c:pt>
                <c:pt idx="6">
                  <c:v>254.53146699999999</c:v>
                </c:pt>
              </c:numCache>
            </c:numRef>
          </c:val>
        </c:ser>
        <c:axId val="85944192"/>
        <c:axId val="85945728"/>
      </c:barChart>
      <c:catAx>
        <c:axId val="85944192"/>
        <c:scaling>
          <c:orientation val="minMax"/>
        </c:scaling>
        <c:axPos val="b"/>
        <c:tickLblPos val="nextTo"/>
        <c:crossAx val="85945728"/>
        <c:crosses val="autoZero"/>
        <c:auto val="1"/>
        <c:lblAlgn val="ctr"/>
        <c:lblOffset val="100"/>
      </c:catAx>
      <c:valAx>
        <c:axId val="85945728"/>
        <c:scaling>
          <c:orientation val="minMax"/>
        </c:scaling>
        <c:axPos val="l"/>
        <c:majorGridlines/>
        <c:numFmt formatCode="General" sourceLinked="1"/>
        <c:tickLblPos val="nextTo"/>
        <c:crossAx val="85944192"/>
        <c:crosses val="autoZero"/>
        <c:crossBetween val="between"/>
      </c:valAx>
    </c:plotArea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Oahu: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413E-2"/>
          <c:y val="0.14677337195672074"/>
          <c:w val="0.94962708245752614"/>
          <c:h val="0.71460884614676634"/>
        </c:manualLayout>
      </c:layout>
      <c:barChart>
        <c:barDir val="col"/>
        <c:grouping val="clustered"/>
        <c:ser>
          <c:idx val="0"/>
          <c:order val="0"/>
          <c:cat>
            <c:strRef>
              <c:f>'Ohia Sites'!$D$28:$D$34</c:f>
              <c:strCache>
                <c:ptCount val="7"/>
                <c:pt idx="0">
                  <c:v>Aiea</c:v>
                </c:pt>
                <c:pt idx="1">
                  <c:v>Hawaii Loa Ridge</c:v>
                </c:pt>
                <c:pt idx="2">
                  <c:v>Kahanahaiki</c:v>
                </c:pt>
                <c:pt idx="3">
                  <c:v>Maunawili</c:v>
                </c:pt>
                <c:pt idx="4">
                  <c:v>Palikea</c:v>
                </c:pt>
                <c:pt idx="5">
                  <c:v>Poamoho</c:v>
                </c:pt>
                <c:pt idx="6">
                  <c:v>Waimea Catchpin</c:v>
                </c:pt>
              </c:strCache>
            </c:strRef>
          </c:cat>
          <c:val>
            <c:numRef>
              <c:f>'Ohia Sites'!$I$28:$I$34</c:f>
              <c:numCache>
                <c:formatCode>General</c:formatCode>
                <c:ptCount val="7"/>
                <c:pt idx="0">
                  <c:v>117.05</c:v>
                </c:pt>
                <c:pt idx="1">
                  <c:v>76.251000000000005</c:v>
                </c:pt>
                <c:pt idx="2">
                  <c:v>54.904000000000003</c:v>
                </c:pt>
                <c:pt idx="3">
                  <c:v>101.68</c:v>
                </c:pt>
                <c:pt idx="4">
                  <c:v>45.65</c:v>
                </c:pt>
                <c:pt idx="5">
                  <c:v>216.23</c:v>
                </c:pt>
                <c:pt idx="6">
                  <c:v>77.623000000000005</c:v>
                </c:pt>
              </c:numCache>
            </c:numRef>
          </c:val>
        </c:ser>
        <c:axId val="85981824"/>
        <c:axId val="86049152"/>
      </c:barChart>
      <c:catAx>
        <c:axId val="85981824"/>
        <c:scaling>
          <c:orientation val="minMax"/>
        </c:scaling>
        <c:axPos val="b"/>
        <c:tickLblPos val="nextTo"/>
        <c:crossAx val="86049152"/>
        <c:crosses val="autoZero"/>
        <c:auto val="1"/>
        <c:lblAlgn val="ctr"/>
        <c:lblOffset val="100"/>
      </c:catAx>
      <c:valAx>
        <c:axId val="86049152"/>
        <c:scaling>
          <c:orientation val="minMax"/>
        </c:scaling>
        <c:axPos val="l"/>
        <c:majorGridlines/>
        <c:numFmt formatCode="General" sourceLinked="1"/>
        <c:tickLblPos val="nextTo"/>
        <c:crossAx val="85981824"/>
        <c:crosses val="autoZero"/>
        <c:crossBetween val="between"/>
      </c:valAx>
    </c:plotArea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Oahu: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Sites'!$D$28:$D$34</c:f>
              <c:strCache>
                <c:ptCount val="7"/>
                <c:pt idx="0">
                  <c:v>Aiea</c:v>
                </c:pt>
                <c:pt idx="1">
                  <c:v>Hawaii Loa Ridge</c:v>
                </c:pt>
                <c:pt idx="2">
                  <c:v>Kahanahaiki</c:v>
                </c:pt>
                <c:pt idx="3">
                  <c:v>Maunawili</c:v>
                </c:pt>
                <c:pt idx="4">
                  <c:v>Palikea</c:v>
                </c:pt>
                <c:pt idx="5">
                  <c:v>Poamoho</c:v>
                </c:pt>
                <c:pt idx="6">
                  <c:v>Waimea Catchpin</c:v>
                </c:pt>
              </c:strCache>
            </c:strRef>
          </c:cat>
          <c:val>
            <c:numRef>
              <c:f>'Ohia Sites'!$J$28:$J$34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</c:ser>
        <c:axId val="86060416"/>
        <c:axId val="86082688"/>
      </c:barChart>
      <c:catAx>
        <c:axId val="86060416"/>
        <c:scaling>
          <c:orientation val="minMax"/>
        </c:scaling>
        <c:axPos val="b"/>
        <c:tickLblPos val="nextTo"/>
        <c:crossAx val="86082688"/>
        <c:crossesAt val="0"/>
        <c:auto val="1"/>
        <c:lblAlgn val="ctr"/>
        <c:lblOffset val="100"/>
      </c:catAx>
      <c:valAx>
        <c:axId val="86082688"/>
        <c:scaling>
          <c:orientation val="minMax"/>
        </c:scaling>
        <c:axPos val="l"/>
        <c:majorGridlines/>
        <c:numFmt formatCode="General" sourceLinked="1"/>
        <c:tickLblPos val="nextTo"/>
        <c:crossAx val="86060416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233" r="0.75000000000000233" t="1" header="0.5" footer="0.5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State</a:t>
            </a:r>
            <a:r>
              <a:rPr lang="en-US" baseline="0"/>
              <a:t> of Hawaii</a:t>
            </a:r>
            <a:r>
              <a:rPr lang="en-US"/>
              <a:t>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Sites'!$D$2:$D$34</c:f>
              <c:strCache>
                <c:ptCount val="33"/>
                <c:pt idx="0">
                  <c:v>Chain of Craters Managed</c:v>
                </c:pt>
                <c:pt idx="1">
                  <c:v>Chain of Craters Unmanaged</c:v>
                </c:pt>
                <c:pt idx="2">
                  <c:v>Faya NPS</c:v>
                </c:pt>
                <c:pt idx="3">
                  <c:v>Kau</c:v>
                </c:pt>
                <c:pt idx="4">
                  <c:v>Kohala</c:v>
                </c:pt>
                <c:pt idx="5">
                  <c:v>Kona</c:v>
                </c:pt>
                <c:pt idx="6">
                  <c:v>Lava Tree</c:v>
                </c:pt>
                <c:pt idx="7">
                  <c:v>Malamaki</c:v>
                </c:pt>
                <c:pt idx="8">
                  <c:v>Mauna Loa Road</c:v>
                </c:pt>
                <c:pt idx="9">
                  <c:v>Orchidland</c:v>
                </c:pt>
                <c:pt idx="10">
                  <c:v>Piha</c:v>
                </c:pt>
                <c:pt idx="11">
                  <c:v>Saddle 13</c:v>
                </c:pt>
                <c:pt idx="12">
                  <c:v>saddle 19</c:v>
                </c:pt>
                <c:pt idx="13">
                  <c:v>Saddle Kipuka</c:v>
                </c:pt>
                <c:pt idx="14">
                  <c:v>Thurston NPS</c:v>
                </c:pt>
                <c:pt idx="15">
                  <c:v>Thurston State</c:v>
                </c:pt>
                <c:pt idx="16">
                  <c:v>Kokee Lodge</c:v>
                </c:pt>
                <c:pt idx="17">
                  <c:v>Kuilau</c:v>
                </c:pt>
                <c:pt idx="18">
                  <c:v>Limahuli</c:v>
                </c:pt>
                <c:pt idx="19">
                  <c:v>Okolehao</c:v>
                </c:pt>
                <c:pt idx="20">
                  <c:v>Pihea Trail</c:v>
                </c:pt>
                <c:pt idx="21">
                  <c:v>Camp Site Transect 3</c:v>
                </c:pt>
                <c:pt idx="22">
                  <c:v>Kahakapao</c:v>
                </c:pt>
                <c:pt idx="23">
                  <c:v>Kula</c:v>
                </c:pt>
                <c:pt idx="24">
                  <c:v>Maile Trail</c:v>
                </c:pt>
                <c:pt idx="25">
                  <c:v>Waihee</c:v>
                </c:pt>
                <c:pt idx="26">
                  <c:v>Aiea</c:v>
                </c:pt>
                <c:pt idx="27">
                  <c:v>Hawaii Loa Ridge</c:v>
                </c:pt>
                <c:pt idx="28">
                  <c:v>Kahanahaiki</c:v>
                </c:pt>
                <c:pt idx="29">
                  <c:v>Maunawili</c:v>
                </c:pt>
                <c:pt idx="30">
                  <c:v>Palikea</c:v>
                </c:pt>
                <c:pt idx="31">
                  <c:v>Poamoho</c:v>
                </c:pt>
                <c:pt idx="32">
                  <c:v>Waimea Catchpin</c:v>
                </c:pt>
              </c:strCache>
            </c:strRef>
          </c:cat>
          <c:val>
            <c:numRef>
              <c:f>'Ohia Sites'!$G$2:$G$34</c:f>
              <c:numCache>
                <c:formatCode>General</c:formatCode>
                <c:ptCount val="33"/>
                <c:pt idx="0">
                  <c:v>737.95805378555804</c:v>
                </c:pt>
                <c:pt idx="1">
                  <c:v>731.71482089999995</c:v>
                </c:pt>
                <c:pt idx="2">
                  <c:v>1117.15039</c:v>
                </c:pt>
                <c:pt idx="3">
                  <c:v>1080.5201786003299</c:v>
                </c:pt>
                <c:pt idx="4">
                  <c:v>1235.64447831079</c:v>
                </c:pt>
                <c:pt idx="5">
                  <c:v>599.84615117552505</c:v>
                </c:pt>
                <c:pt idx="6">
                  <c:v>203.61714739999999</c:v>
                </c:pt>
                <c:pt idx="7">
                  <c:v>15.9561068070242</c:v>
                </c:pt>
                <c:pt idx="8">
                  <c:v>2049.2324331401001</c:v>
                </c:pt>
                <c:pt idx="9">
                  <c:v>157.90654509999999</c:v>
                </c:pt>
                <c:pt idx="10">
                  <c:v>537.31715928102301</c:v>
                </c:pt>
                <c:pt idx="11">
                  <c:v>1041.0659714034</c:v>
                </c:pt>
                <c:pt idx="12">
                  <c:v>1490.8619329999999</c:v>
                </c:pt>
                <c:pt idx="13">
                  <c:v>2035.7027559999999</c:v>
                </c:pt>
                <c:pt idx="14">
                  <c:v>1200.1803782208201</c:v>
                </c:pt>
                <c:pt idx="15">
                  <c:v>1206.6938398201701</c:v>
                </c:pt>
                <c:pt idx="16">
                  <c:v>1127.46349802445</c:v>
                </c:pt>
                <c:pt idx="17">
                  <c:v>329.45177404324397</c:v>
                </c:pt>
                <c:pt idx="18">
                  <c:v>145.37334768384801</c:v>
                </c:pt>
                <c:pt idx="19">
                  <c:v>358.16338957972499</c:v>
                </c:pt>
                <c:pt idx="20">
                  <c:v>1225.7626469812401</c:v>
                </c:pt>
                <c:pt idx="21">
                  <c:v>1867.2774944722901</c:v>
                </c:pt>
                <c:pt idx="22">
                  <c:v>880.91174451034703</c:v>
                </c:pt>
                <c:pt idx="23">
                  <c:v>1895.7322789355601</c:v>
                </c:pt>
                <c:pt idx="24">
                  <c:v>1415.4139690775301</c:v>
                </c:pt>
                <c:pt idx="25">
                  <c:v>641.39793698212895</c:v>
                </c:pt>
                <c:pt idx="26">
                  <c:v>465.66637835815902</c:v>
                </c:pt>
                <c:pt idx="27">
                  <c:v>464.79471999999998</c:v>
                </c:pt>
                <c:pt idx="28">
                  <c:v>684.57781982421795</c:v>
                </c:pt>
                <c:pt idx="29">
                  <c:v>240.69883528174199</c:v>
                </c:pt>
                <c:pt idx="30">
                  <c:v>915.08373516028905</c:v>
                </c:pt>
                <c:pt idx="31">
                  <c:v>660.92463731049997</c:v>
                </c:pt>
                <c:pt idx="32">
                  <c:v>254.53146699999999</c:v>
                </c:pt>
              </c:numCache>
            </c:numRef>
          </c:val>
        </c:ser>
        <c:axId val="86242432"/>
        <c:axId val="86243968"/>
      </c:barChart>
      <c:catAx>
        <c:axId val="86242432"/>
        <c:scaling>
          <c:orientation val="minMax"/>
        </c:scaling>
        <c:axPos val="b"/>
        <c:tickLblPos val="nextTo"/>
        <c:crossAx val="86243968"/>
        <c:crosses val="autoZero"/>
        <c:auto val="1"/>
        <c:lblAlgn val="ctr"/>
        <c:lblOffset val="100"/>
      </c:catAx>
      <c:valAx>
        <c:axId val="86243968"/>
        <c:scaling>
          <c:orientation val="minMax"/>
        </c:scaling>
        <c:axPos val="l"/>
        <c:majorGridlines/>
        <c:numFmt formatCode="General" sourceLinked="1"/>
        <c:tickLblPos val="nextTo"/>
        <c:crossAx val="86242432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State</a:t>
            </a:r>
            <a:r>
              <a:rPr lang="en-US" baseline="0"/>
              <a:t> of Hawaii</a:t>
            </a:r>
            <a:r>
              <a:rPr lang="en-US"/>
              <a:t>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395E-2"/>
          <c:y val="0.14677337195672074"/>
          <c:w val="0.94962708245752558"/>
          <c:h val="0.7146088461467659"/>
        </c:manualLayout>
      </c:layout>
      <c:barChart>
        <c:barDir val="col"/>
        <c:grouping val="clustered"/>
        <c:ser>
          <c:idx val="0"/>
          <c:order val="0"/>
          <c:cat>
            <c:strRef>
              <c:f>'Ohia Sites'!$D$2:$D$34</c:f>
              <c:strCache>
                <c:ptCount val="33"/>
                <c:pt idx="0">
                  <c:v>Chain of Craters Managed</c:v>
                </c:pt>
                <c:pt idx="1">
                  <c:v>Chain of Craters Unmanaged</c:v>
                </c:pt>
                <c:pt idx="2">
                  <c:v>Faya NPS</c:v>
                </c:pt>
                <c:pt idx="3">
                  <c:v>Kau</c:v>
                </c:pt>
                <c:pt idx="4">
                  <c:v>Kohala</c:v>
                </c:pt>
                <c:pt idx="5">
                  <c:v>Kona</c:v>
                </c:pt>
                <c:pt idx="6">
                  <c:v>Lava Tree</c:v>
                </c:pt>
                <c:pt idx="7">
                  <c:v>Malamaki</c:v>
                </c:pt>
                <c:pt idx="8">
                  <c:v>Mauna Loa Road</c:v>
                </c:pt>
                <c:pt idx="9">
                  <c:v>Orchidland</c:v>
                </c:pt>
                <c:pt idx="10">
                  <c:v>Piha</c:v>
                </c:pt>
                <c:pt idx="11">
                  <c:v>Saddle 13</c:v>
                </c:pt>
                <c:pt idx="12">
                  <c:v>saddle 19</c:v>
                </c:pt>
                <c:pt idx="13">
                  <c:v>Saddle Kipuka</c:v>
                </c:pt>
                <c:pt idx="14">
                  <c:v>Thurston NPS</c:v>
                </c:pt>
                <c:pt idx="15">
                  <c:v>Thurston State</c:v>
                </c:pt>
                <c:pt idx="16">
                  <c:v>Kokee Lodge</c:v>
                </c:pt>
                <c:pt idx="17">
                  <c:v>Kuilau</c:v>
                </c:pt>
                <c:pt idx="18">
                  <c:v>Limahuli</c:v>
                </c:pt>
                <c:pt idx="19">
                  <c:v>Okolehao</c:v>
                </c:pt>
                <c:pt idx="20">
                  <c:v>Pihea Trail</c:v>
                </c:pt>
                <c:pt idx="21">
                  <c:v>Camp Site Transect 3</c:v>
                </c:pt>
                <c:pt idx="22">
                  <c:v>Kahakapao</c:v>
                </c:pt>
                <c:pt idx="23">
                  <c:v>Kula</c:v>
                </c:pt>
                <c:pt idx="24">
                  <c:v>Maile Trail</c:v>
                </c:pt>
                <c:pt idx="25">
                  <c:v>Waihee</c:v>
                </c:pt>
                <c:pt idx="26">
                  <c:v>Aiea</c:v>
                </c:pt>
                <c:pt idx="27">
                  <c:v>Hawaii Loa Ridge</c:v>
                </c:pt>
                <c:pt idx="28">
                  <c:v>Kahanahaiki</c:v>
                </c:pt>
                <c:pt idx="29">
                  <c:v>Maunawili</c:v>
                </c:pt>
                <c:pt idx="30">
                  <c:v>Palikea</c:v>
                </c:pt>
                <c:pt idx="31">
                  <c:v>Poamoho</c:v>
                </c:pt>
                <c:pt idx="32">
                  <c:v>Waimea Catchpin</c:v>
                </c:pt>
              </c:strCache>
            </c:strRef>
          </c:cat>
          <c:val>
            <c:numRef>
              <c:f>'Ohia Sites'!$I$2:$I$34</c:f>
              <c:numCache>
                <c:formatCode>General</c:formatCode>
                <c:ptCount val="33"/>
                <c:pt idx="0">
                  <c:v>87.581000000000003</c:v>
                </c:pt>
                <c:pt idx="1">
                  <c:v>87.674000000000007</c:v>
                </c:pt>
                <c:pt idx="2">
                  <c:v>87.587000000000003</c:v>
                </c:pt>
                <c:pt idx="3">
                  <c:v>84.283000000000001</c:v>
                </c:pt>
                <c:pt idx="4">
                  <c:v>88.94</c:v>
                </c:pt>
                <c:pt idx="5">
                  <c:v>46.874000000000002</c:v>
                </c:pt>
                <c:pt idx="6">
                  <c:v>123.69499999999999</c:v>
                </c:pt>
                <c:pt idx="7">
                  <c:v>97.272999999999996</c:v>
                </c:pt>
                <c:pt idx="8">
                  <c:v>64.885000000000005</c:v>
                </c:pt>
                <c:pt idx="9">
                  <c:v>143.00800000000001</c:v>
                </c:pt>
                <c:pt idx="10">
                  <c:v>210.06200000000001</c:v>
                </c:pt>
                <c:pt idx="11">
                  <c:v>241.846</c:v>
                </c:pt>
                <c:pt idx="12">
                  <c:v>110.43300000000001</c:v>
                </c:pt>
                <c:pt idx="13">
                  <c:v>40.631999999999998</c:v>
                </c:pt>
                <c:pt idx="14">
                  <c:v>108.63</c:v>
                </c:pt>
                <c:pt idx="15">
                  <c:v>107.613</c:v>
                </c:pt>
                <c:pt idx="16">
                  <c:v>59.857999999999997</c:v>
                </c:pt>
                <c:pt idx="17">
                  <c:v>116.84099999999999</c:v>
                </c:pt>
                <c:pt idx="18">
                  <c:v>101.53</c:v>
                </c:pt>
                <c:pt idx="19">
                  <c:v>96.762</c:v>
                </c:pt>
                <c:pt idx="20">
                  <c:v>85.948999999999998</c:v>
                </c:pt>
                <c:pt idx="21">
                  <c:v>90.034000000000006</c:v>
                </c:pt>
                <c:pt idx="22">
                  <c:v>118.99</c:v>
                </c:pt>
                <c:pt idx="23">
                  <c:v>35.981999999999999</c:v>
                </c:pt>
                <c:pt idx="24">
                  <c:v>99.662000000000006</c:v>
                </c:pt>
                <c:pt idx="25">
                  <c:v>82.399000000000001</c:v>
                </c:pt>
                <c:pt idx="26">
                  <c:v>117.05</c:v>
                </c:pt>
                <c:pt idx="27">
                  <c:v>76.251000000000005</c:v>
                </c:pt>
                <c:pt idx="28">
                  <c:v>54.904000000000003</c:v>
                </c:pt>
                <c:pt idx="29">
                  <c:v>101.68</c:v>
                </c:pt>
                <c:pt idx="30">
                  <c:v>45.65</c:v>
                </c:pt>
                <c:pt idx="31">
                  <c:v>216.23</c:v>
                </c:pt>
                <c:pt idx="32">
                  <c:v>77.623000000000005</c:v>
                </c:pt>
              </c:numCache>
            </c:numRef>
          </c:val>
        </c:ser>
        <c:axId val="86214528"/>
        <c:axId val="86216064"/>
      </c:barChart>
      <c:catAx>
        <c:axId val="86214528"/>
        <c:scaling>
          <c:orientation val="minMax"/>
        </c:scaling>
        <c:axPos val="b"/>
        <c:tickLblPos val="nextTo"/>
        <c:crossAx val="86216064"/>
        <c:crosses val="autoZero"/>
        <c:auto val="1"/>
        <c:lblAlgn val="ctr"/>
        <c:lblOffset val="100"/>
      </c:catAx>
      <c:valAx>
        <c:axId val="86216064"/>
        <c:scaling>
          <c:orientation val="minMax"/>
        </c:scaling>
        <c:axPos val="l"/>
        <c:majorGridlines/>
        <c:numFmt formatCode="General" sourceLinked="1"/>
        <c:tickLblPos val="nextTo"/>
        <c:crossAx val="86214528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State of Hawaii: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'Ohia Sites'!$D$2:$D$34</c:f>
              <c:strCache>
                <c:ptCount val="33"/>
                <c:pt idx="0">
                  <c:v>Chain of Craters Managed</c:v>
                </c:pt>
                <c:pt idx="1">
                  <c:v>Chain of Craters Unmanaged</c:v>
                </c:pt>
                <c:pt idx="2">
                  <c:v>Faya NPS</c:v>
                </c:pt>
                <c:pt idx="3">
                  <c:v>Kau</c:v>
                </c:pt>
                <c:pt idx="4">
                  <c:v>Kohala</c:v>
                </c:pt>
                <c:pt idx="5">
                  <c:v>Kona</c:v>
                </c:pt>
                <c:pt idx="6">
                  <c:v>Lava Tree</c:v>
                </c:pt>
                <c:pt idx="7">
                  <c:v>Malamaki</c:v>
                </c:pt>
                <c:pt idx="8">
                  <c:v>Mauna Loa Road</c:v>
                </c:pt>
                <c:pt idx="9">
                  <c:v>Orchidland</c:v>
                </c:pt>
                <c:pt idx="10">
                  <c:v>Piha</c:v>
                </c:pt>
                <c:pt idx="11">
                  <c:v>Saddle 13</c:v>
                </c:pt>
                <c:pt idx="12">
                  <c:v>saddle 19</c:v>
                </c:pt>
                <c:pt idx="13">
                  <c:v>Saddle Kipuka</c:v>
                </c:pt>
                <c:pt idx="14">
                  <c:v>Thurston NPS</c:v>
                </c:pt>
                <c:pt idx="15">
                  <c:v>Thurston State</c:v>
                </c:pt>
                <c:pt idx="16">
                  <c:v>Kokee Lodge</c:v>
                </c:pt>
                <c:pt idx="17">
                  <c:v>Kuilau</c:v>
                </c:pt>
                <c:pt idx="18">
                  <c:v>Limahuli</c:v>
                </c:pt>
                <c:pt idx="19">
                  <c:v>Okolehao</c:v>
                </c:pt>
                <c:pt idx="20">
                  <c:v>Pihea Trail</c:v>
                </c:pt>
                <c:pt idx="21">
                  <c:v>Camp Site Transect 3</c:v>
                </c:pt>
                <c:pt idx="22">
                  <c:v>Kahakapao</c:v>
                </c:pt>
                <c:pt idx="23">
                  <c:v>Kula</c:v>
                </c:pt>
                <c:pt idx="24">
                  <c:v>Maile Trail</c:v>
                </c:pt>
                <c:pt idx="25">
                  <c:v>Waihee</c:v>
                </c:pt>
                <c:pt idx="26">
                  <c:v>Aiea</c:v>
                </c:pt>
                <c:pt idx="27">
                  <c:v>Hawaii Loa Ridge</c:v>
                </c:pt>
                <c:pt idx="28">
                  <c:v>Kahanahaiki</c:v>
                </c:pt>
                <c:pt idx="29">
                  <c:v>Maunawili</c:v>
                </c:pt>
                <c:pt idx="30">
                  <c:v>Palikea</c:v>
                </c:pt>
                <c:pt idx="31">
                  <c:v>Poamoho</c:v>
                </c:pt>
                <c:pt idx="32">
                  <c:v>Waimea Catchpin</c:v>
                </c:pt>
              </c:strCache>
            </c:strRef>
          </c:cat>
          <c:val>
            <c:numRef>
              <c:f>'Ohia Sites'!$J$2:$J$34</c:f>
              <c:numCache>
                <c:formatCode>General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9</c:v>
                </c:pt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2</c:v>
                </c:pt>
                <c:pt idx="15">
                  <c:v>2</c:v>
                </c:pt>
                <c:pt idx="16">
                  <c:v>14</c:v>
                </c:pt>
                <c:pt idx="17">
                  <c:v>12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</c:numCache>
            </c:numRef>
          </c:val>
        </c:ser>
        <c:axId val="86248064"/>
        <c:axId val="86258048"/>
      </c:barChart>
      <c:catAx>
        <c:axId val="86248064"/>
        <c:scaling>
          <c:orientation val="minMax"/>
        </c:scaling>
        <c:axPos val="b"/>
        <c:tickLblPos val="nextTo"/>
        <c:crossAx val="86258048"/>
        <c:crossesAt val="0"/>
        <c:auto val="1"/>
        <c:lblAlgn val="ctr"/>
        <c:lblOffset val="100"/>
      </c:catAx>
      <c:valAx>
        <c:axId val="86258048"/>
        <c:scaling>
          <c:orientation val="minMax"/>
        </c:scaling>
        <c:axPos val="l"/>
        <c:majorGridlines/>
        <c:numFmt formatCode="General" sourceLinked="1"/>
        <c:tickLblPos val="nextTo"/>
        <c:crossAx val="86248064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127000</xdr:rowOff>
    </xdr:from>
    <xdr:to>
      <xdr:col>11</xdr:col>
      <xdr:colOff>95249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21</xdr:row>
      <xdr:rowOff>161925</xdr:rowOff>
    </xdr:from>
    <xdr:to>
      <xdr:col>11</xdr:col>
      <xdr:colOff>114300</xdr:colOff>
      <xdr:row>42</xdr:row>
      <xdr:rowOff>34925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12</xdr:row>
      <xdr:rowOff>104775</xdr:rowOff>
    </xdr:from>
    <xdr:to>
      <xdr:col>22</xdr:col>
      <xdr:colOff>384175</xdr:colOff>
      <xdr:row>32</xdr:row>
      <xdr:rowOff>177800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609600</xdr:colOff>
      <xdr:row>15</xdr:row>
      <xdr:rowOff>95250</xdr:rowOff>
    </xdr:from>
    <xdr:to>
      <xdr:col>14</xdr:col>
      <xdr:colOff>485775</xdr:colOff>
      <xdr:row>22</xdr:row>
      <xdr:rowOff>66676</xdr:rowOff>
    </xdr:to>
    <xdr:sp macro="" textlink="">
      <xdr:nvSpPr>
        <xdr:cNvPr id="6" name="TextBox 5"/>
        <xdr:cNvSpPr txBox="1"/>
      </xdr:nvSpPr>
      <xdr:spPr>
        <a:xfrm>
          <a:off x="8839200" y="3095625"/>
          <a:ext cx="1247775" cy="1371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1 = 0-200 yr</a:t>
          </a:r>
        </a:p>
        <a:p>
          <a:r>
            <a:rPr lang="en-US" sz="1100"/>
            <a:t>2 = 200-750 yr</a:t>
          </a:r>
        </a:p>
        <a:p>
          <a:r>
            <a:rPr lang="en-US" sz="1100"/>
            <a:t>3 = 750-1500 yr</a:t>
          </a:r>
        </a:p>
        <a:p>
          <a:r>
            <a:rPr lang="en-US" sz="1100"/>
            <a:t>4 = 1500-3000 yr</a:t>
          </a:r>
        </a:p>
        <a:p>
          <a:r>
            <a:rPr lang="en-US" sz="1100"/>
            <a:t>7 = 10-30 ka</a:t>
          </a:r>
        </a:p>
        <a:p>
          <a:r>
            <a:rPr lang="en-US" sz="1100"/>
            <a:t>9 = 50-140 ka</a:t>
          </a:r>
        </a:p>
        <a:p>
          <a:r>
            <a:rPr lang="en-US" sz="1100"/>
            <a:t>10 = 140-780 ka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676275</xdr:colOff>
      <xdr:row>20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21</xdr:row>
      <xdr:rowOff>34925</xdr:rowOff>
    </xdr:from>
    <xdr:to>
      <xdr:col>11</xdr:col>
      <xdr:colOff>9526</xdr:colOff>
      <xdr:row>41</xdr:row>
      <xdr:rowOff>107950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257176</xdr:colOff>
      <xdr:row>11</xdr:row>
      <xdr:rowOff>177800</xdr:rowOff>
    </xdr:from>
    <xdr:to>
      <xdr:col>22</xdr:col>
      <xdr:colOff>279401</xdr:colOff>
      <xdr:row>32</xdr:row>
      <xdr:rowOff>50800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28576</xdr:colOff>
      <xdr:row>14</xdr:row>
      <xdr:rowOff>187326</xdr:rowOff>
    </xdr:from>
    <xdr:to>
      <xdr:col>13</xdr:col>
      <xdr:colOff>485775</xdr:colOff>
      <xdr:row>17</xdr:row>
      <xdr:rowOff>76201</xdr:rowOff>
    </xdr:to>
    <xdr:sp macro="" textlink="">
      <xdr:nvSpPr>
        <xdr:cNvPr id="5" name="TextBox 4"/>
        <xdr:cNvSpPr txBox="1"/>
      </xdr:nvSpPr>
      <xdr:spPr>
        <a:xfrm>
          <a:off x="8258176" y="2987676"/>
          <a:ext cx="1142999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10 = 140-780 ka</a:t>
          </a:r>
        </a:p>
        <a:p>
          <a:r>
            <a:rPr lang="en-US" sz="1100"/>
            <a:t>14 = 4-6 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676275</xdr:colOff>
      <xdr:row>20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21</xdr:row>
      <xdr:rowOff>34925</xdr:rowOff>
    </xdr:from>
    <xdr:to>
      <xdr:col>11</xdr:col>
      <xdr:colOff>9526</xdr:colOff>
      <xdr:row>41</xdr:row>
      <xdr:rowOff>107950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257176</xdr:colOff>
      <xdr:row>11</xdr:row>
      <xdr:rowOff>177800</xdr:rowOff>
    </xdr:from>
    <xdr:to>
      <xdr:col>22</xdr:col>
      <xdr:colOff>279401</xdr:colOff>
      <xdr:row>32</xdr:row>
      <xdr:rowOff>50800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28576</xdr:colOff>
      <xdr:row>14</xdr:row>
      <xdr:rowOff>187326</xdr:rowOff>
    </xdr:from>
    <xdr:to>
      <xdr:col>13</xdr:col>
      <xdr:colOff>485775</xdr:colOff>
      <xdr:row>17</xdr:row>
      <xdr:rowOff>76201</xdr:rowOff>
    </xdr:to>
    <xdr:sp macro="" textlink="">
      <xdr:nvSpPr>
        <xdr:cNvPr id="5" name="TextBox 4"/>
        <xdr:cNvSpPr txBox="1"/>
      </xdr:nvSpPr>
      <xdr:spPr>
        <a:xfrm>
          <a:off x="8258176" y="2987676"/>
          <a:ext cx="1142999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10 = 140-780 ka</a:t>
          </a:r>
        </a:p>
        <a:p>
          <a:r>
            <a:rPr lang="en-US" sz="1100"/>
            <a:t>12 = 1-2 Ma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676275</xdr:colOff>
      <xdr:row>20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21</xdr:row>
      <xdr:rowOff>34925</xdr:rowOff>
    </xdr:from>
    <xdr:to>
      <xdr:col>11</xdr:col>
      <xdr:colOff>9526</xdr:colOff>
      <xdr:row>41</xdr:row>
      <xdr:rowOff>107950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257176</xdr:colOff>
      <xdr:row>11</xdr:row>
      <xdr:rowOff>177800</xdr:rowOff>
    </xdr:from>
    <xdr:to>
      <xdr:col>22</xdr:col>
      <xdr:colOff>279401</xdr:colOff>
      <xdr:row>32</xdr:row>
      <xdr:rowOff>50800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0.00629</cdr:x>
      <cdr:y>0.01403</cdr:y>
    </cdr:from>
    <cdr:to>
      <cdr:x>0.12841</cdr:x>
      <cdr:y>0.08963</cdr:y>
    </cdr:to>
    <cdr:sp macro="" textlink="">
      <cdr:nvSpPr>
        <cdr:cNvPr id="3" name="TextBox 4"/>
        <cdr:cNvSpPr txBox="1"/>
      </cdr:nvSpPr>
      <cdr:spPr>
        <a:xfrm xmlns:a="http://schemas.openxmlformats.org/drawingml/2006/main">
          <a:off x="47625" y="57150"/>
          <a:ext cx="923924" cy="30797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/>
            <a:t>13 = 2-4 Ma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676275</xdr:colOff>
      <xdr:row>20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21</xdr:row>
      <xdr:rowOff>34925</xdr:rowOff>
    </xdr:from>
    <xdr:to>
      <xdr:col>11</xdr:col>
      <xdr:colOff>9526</xdr:colOff>
      <xdr:row>41</xdr:row>
      <xdr:rowOff>107950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257176</xdr:colOff>
      <xdr:row>11</xdr:row>
      <xdr:rowOff>177800</xdr:rowOff>
    </xdr:from>
    <xdr:to>
      <xdr:col>22</xdr:col>
      <xdr:colOff>279401</xdr:colOff>
      <xdr:row>32</xdr:row>
      <xdr:rowOff>50800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485776</xdr:colOff>
      <xdr:row>1</xdr:row>
      <xdr:rowOff>130174</xdr:rowOff>
    </xdr:from>
    <xdr:to>
      <xdr:col>15</xdr:col>
      <xdr:colOff>361951</xdr:colOff>
      <xdr:row>10</xdr:row>
      <xdr:rowOff>180974</xdr:rowOff>
    </xdr:to>
    <xdr:sp macro="" textlink="">
      <xdr:nvSpPr>
        <xdr:cNvPr id="5" name="TextBox 4"/>
        <xdr:cNvSpPr txBox="1"/>
      </xdr:nvSpPr>
      <xdr:spPr>
        <a:xfrm>
          <a:off x="9401176" y="330199"/>
          <a:ext cx="1247775" cy="185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1 = 0-200 yr</a:t>
          </a:r>
        </a:p>
        <a:p>
          <a:r>
            <a:rPr lang="en-US" sz="1100"/>
            <a:t>2 = 200-750 yr</a:t>
          </a:r>
        </a:p>
        <a:p>
          <a:r>
            <a:rPr lang="en-US" sz="1100"/>
            <a:t>3 = 750-1500 yr</a:t>
          </a:r>
        </a:p>
        <a:p>
          <a:r>
            <a:rPr lang="en-US" sz="1100"/>
            <a:t>4 = 1500-3000 yr</a:t>
          </a:r>
        </a:p>
        <a:p>
          <a:r>
            <a:rPr lang="en-US" sz="1100"/>
            <a:t>7 = 10-30 ka</a:t>
          </a:r>
        </a:p>
        <a:p>
          <a:r>
            <a:rPr lang="en-US" sz="1100"/>
            <a:t>9 = 50-140 ka</a:t>
          </a:r>
        </a:p>
        <a:p>
          <a:r>
            <a:rPr lang="en-US" sz="1100"/>
            <a:t>10 = 140-780 ka</a:t>
          </a:r>
        </a:p>
        <a:p>
          <a:r>
            <a:rPr lang="en-US" sz="1100"/>
            <a:t>12 = 1-2 Ma</a:t>
          </a:r>
        </a:p>
        <a:p>
          <a:r>
            <a:rPr lang="en-US" sz="1100"/>
            <a:t>13 = 2-4 Ma</a:t>
          </a:r>
        </a:p>
        <a:p>
          <a:r>
            <a:rPr lang="en-US" sz="1100"/>
            <a:t>14 = 4-6 Ma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>
      <selection activeCell="A35" sqref="A35"/>
    </sheetView>
  </sheetViews>
  <sheetFormatPr defaultColWidth="11" defaultRowHeight="15.75"/>
  <cols>
    <col min="1" max="1" width="11.5" bestFit="1" customWidth="1"/>
    <col min="2" max="2" width="11.875" bestFit="1" customWidth="1"/>
    <col min="3" max="3" width="8.875" bestFit="1" customWidth="1"/>
    <col min="4" max="4" width="24.625" bestFit="1" customWidth="1"/>
    <col min="5" max="5" width="9.875" bestFit="1" customWidth="1"/>
    <col min="6" max="6" width="11.5" bestFit="1" customWidth="1"/>
    <col min="7" max="7" width="12.25" bestFit="1" customWidth="1"/>
    <col min="8" max="8" width="12" bestFit="1" customWidth="1"/>
    <col min="9" max="9" width="21.375" bestFit="1" customWidth="1"/>
    <col min="10" max="10" width="28.375" bestFit="1" customWidth="1"/>
    <col min="11" max="11" width="29.75" bestFit="1" customWidth="1"/>
    <col min="12" max="12" width="20" bestFit="1" customWidth="1"/>
  </cols>
  <sheetData>
    <row r="1" spans="1:12">
      <c r="A1" s="1" t="s">
        <v>0</v>
      </c>
      <c r="B1" s="1" t="s">
        <v>1</v>
      </c>
      <c r="C1" s="1" t="s">
        <v>33</v>
      </c>
      <c r="D1" s="1" t="s">
        <v>17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3</v>
      </c>
      <c r="J1" s="1" t="s">
        <v>46</v>
      </c>
      <c r="K1" s="1" t="s">
        <v>15</v>
      </c>
      <c r="L1" s="1" t="s">
        <v>4</v>
      </c>
    </row>
    <row r="2" spans="1:12">
      <c r="A2" s="2">
        <v>300380.13400000002</v>
      </c>
      <c r="B2" s="2">
        <v>2155339.0279999999</v>
      </c>
      <c r="C2" s="2" t="s">
        <v>34</v>
      </c>
      <c r="D2" s="2" t="s">
        <v>18</v>
      </c>
      <c r="E2" s="2">
        <v>19.327124000000001</v>
      </c>
      <c r="F2" s="2">
        <v>-155.18474699999999</v>
      </c>
      <c r="G2" s="2">
        <v>737.95805378555804</v>
      </c>
      <c r="H2" s="2">
        <f>G2*3.28084</f>
        <v>2421.1223011818101</v>
      </c>
      <c r="I2" s="2">
        <v>87.581000000000003</v>
      </c>
      <c r="J2" s="2">
        <v>2</v>
      </c>
      <c r="K2" s="2">
        <v>475</v>
      </c>
      <c r="L2" s="2" t="s">
        <v>6</v>
      </c>
    </row>
    <row r="3" spans="1:12">
      <c r="A3" s="2">
        <v>270616.93199999997</v>
      </c>
      <c r="B3" s="2">
        <v>2138414.5610000002</v>
      </c>
      <c r="C3" s="2" t="s">
        <v>34</v>
      </c>
      <c r="D3" s="2" t="s">
        <v>19</v>
      </c>
      <c r="E3" s="2">
        <v>19.326618</v>
      </c>
      <c r="F3" s="2">
        <v>-155.18329399999999</v>
      </c>
      <c r="G3" s="2">
        <v>731.71482089999995</v>
      </c>
      <c r="H3" s="2">
        <f>G3*3.28084</f>
        <v>2400.639253001556</v>
      </c>
      <c r="I3" s="2">
        <v>87.674000000000007</v>
      </c>
      <c r="J3" s="2">
        <v>2</v>
      </c>
      <c r="K3" s="2">
        <v>475</v>
      </c>
      <c r="L3" s="2" t="s">
        <v>6</v>
      </c>
    </row>
    <row r="4" spans="1:12">
      <c r="A4" s="2">
        <v>263478.56300000002</v>
      </c>
      <c r="B4" s="2">
        <v>2146990.1239999998</v>
      </c>
      <c r="C4" s="2" t="s">
        <v>34</v>
      </c>
      <c r="D4" s="2" t="s">
        <v>20</v>
      </c>
      <c r="E4" s="2">
        <v>19.403231999999999</v>
      </c>
      <c r="F4" s="2">
        <v>-155.252263</v>
      </c>
      <c r="G4" s="2">
        <v>1117.15039</v>
      </c>
      <c r="H4" s="2">
        <f>G4*3.28084</f>
        <v>3665.1916855275999</v>
      </c>
      <c r="I4" s="2">
        <v>87.587000000000003</v>
      </c>
      <c r="J4" s="2">
        <v>2</v>
      </c>
      <c r="K4" s="2">
        <v>475</v>
      </c>
      <c r="L4" s="2" t="s">
        <v>6</v>
      </c>
    </row>
    <row r="5" spans="1:12">
      <c r="A5" s="2">
        <v>265073.15100000001</v>
      </c>
      <c r="B5" s="2">
        <v>2148178.4810000001</v>
      </c>
      <c r="C5" s="2" t="s">
        <v>34</v>
      </c>
      <c r="D5" s="2" t="s">
        <v>21</v>
      </c>
      <c r="E5" s="2">
        <v>19.332256000000001</v>
      </c>
      <c r="F5" s="2">
        <v>-155.45683399999999</v>
      </c>
      <c r="G5" s="2">
        <v>1080.5201786003299</v>
      </c>
      <c r="H5" s="2">
        <f>G5*3.28084</f>
        <v>3545.0138227591065</v>
      </c>
      <c r="I5" s="2">
        <v>84.283000000000001</v>
      </c>
      <c r="J5" s="2">
        <v>3</v>
      </c>
      <c r="K5" s="2">
        <v>1125</v>
      </c>
      <c r="L5" s="2" t="s">
        <v>7</v>
      </c>
    </row>
    <row r="6" spans="1:12">
      <c r="A6" s="2">
        <v>249614.511</v>
      </c>
      <c r="B6" s="2">
        <v>2157264.1630000002</v>
      </c>
      <c r="C6" s="2" t="s">
        <v>34</v>
      </c>
      <c r="D6" s="2" t="s">
        <v>22</v>
      </c>
      <c r="E6" s="2">
        <v>20.056842</v>
      </c>
      <c r="F6" s="2">
        <v>-155.70400599999999</v>
      </c>
      <c r="G6" s="2">
        <v>1235.64447831079</v>
      </c>
      <c r="H6" s="2">
        <f>G6*3.28084</f>
        <v>4053.9518302211723</v>
      </c>
      <c r="I6" s="2">
        <v>88.94</v>
      </c>
      <c r="J6" s="2">
        <v>10</v>
      </c>
      <c r="K6" s="2">
        <v>460000</v>
      </c>
      <c r="L6" s="2" t="s">
        <v>13</v>
      </c>
    </row>
    <row r="7" spans="1:12">
      <c r="A7" s="2">
        <v>265039.61599999998</v>
      </c>
      <c r="B7" s="2">
        <v>2148082.2480000001</v>
      </c>
      <c r="C7" s="2" t="s">
        <v>34</v>
      </c>
      <c r="D7" s="2" t="s">
        <v>23</v>
      </c>
      <c r="E7" s="2">
        <v>19.316406000000001</v>
      </c>
      <c r="F7" s="2">
        <v>-155.85829000000001</v>
      </c>
      <c r="G7" s="2">
        <v>599.84615117552505</v>
      </c>
      <c r="H7" s="2">
        <f>G7*3.28084</f>
        <v>1967.9992466227095</v>
      </c>
      <c r="I7" s="2">
        <v>46.874000000000002</v>
      </c>
      <c r="J7" s="2">
        <v>4</v>
      </c>
      <c r="K7" s="2">
        <v>2250</v>
      </c>
      <c r="L7" s="2" t="s">
        <v>8</v>
      </c>
    </row>
    <row r="8" spans="1:12">
      <c r="A8" s="2">
        <v>303776.19699999999</v>
      </c>
      <c r="B8" s="2">
        <v>2150282.0150000001</v>
      </c>
      <c r="C8" s="2" t="s">
        <v>34</v>
      </c>
      <c r="D8" s="2" t="s">
        <v>24</v>
      </c>
      <c r="E8" s="2">
        <v>19.482657</v>
      </c>
      <c r="F8" s="2">
        <v>-154.901906</v>
      </c>
      <c r="G8" s="2">
        <v>203.61714739999999</v>
      </c>
      <c r="H8" s="2">
        <f>G8*3.28084</f>
        <v>668.03528187581594</v>
      </c>
      <c r="I8" s="2">
        <v>123.69499999999999</v>
      </c>
      <c r="J8" s="2">
        <v>1</v>
      </c>
      <c r="K8" s="2">
        <v>100</v>
      </c>
      <c r="L8" s="2" t="s">
        <v>5</v>
      </c>
    </row>
    <row r="9" spans="1:12">
      <c r="A9" s="2">
        <v>270219.071</v>
      </c>
      <c r="B9" s="2">
        <v>2202504.8250000002</v>
      </c>
      <c r="C9" s="2" t="s">
        <v>34</v>
      </c>
      <c r="D9" s="2" t="s">
        <v>25</v>
      </c>
      <c r="E9" s="2">
        <v>19.437315999999999</v>
      </c>
      <c r="F9" s="2">
        <v>-154.86903899999999</v>
      </c>
      <c r="G9" s="2">
        <v>15.9561068070242</v>
      </c>
      <c r="H9" s="2">
        <f>G9*3.28084</f>
        <v>52.349433456757275</v>
      </c>
      <c r="I9" s="2">
        <v>97.272999999999996</v>
      </c>
      <c r="J9" s="2">
        <v>1</v>
      </c>
      <c r="K9" s="2">
        <v>100</v>
      </c>
      <c r="L9" s="2" t="s">
        <v>5</v>
      </c>
    </row>
    <row r="10" spans="1:12">
      <c r="A10" s="2">
        <v>217167.611</v>
      </c>
      <c r="B10" s="2">
        <v>2220061.5440000002</v>
      </c>
      <c r="C10" s="2" t="s">
        <v>34</v>
      </c>
      <c r="D10" s="2" t="s">
        <v>26</v>
      </c>
      <c r="E10" s="2">
        <v>19.494316999999999</v>
      </c>
      <c r="F10" s="2">
        <v>-155.38555700000001</v>
      </c>
      <c r="G10" s="2">
        <v>2049.2324331401001</v>
      </c>
      <c r="H10" s="2">
        <f>G10*3.28084</f>
        <v>6723.2037359433662</v>
      </c>
      <c r="I10" s="2">
        <v>64.885000000000005</v>
      </c>
      <c r="J10" s="2">
        <v>4</v>
      </c>
      <c r="K10" s="2">
        <v>2250</v>
      </c>
      <c r="L10" s="2" t="s">
        <v>8</v>
      </c>
    </row>
    <row r="11" spans="1:12">
      <c r="A11" s="2">
        <v>263356.38</v>
      </c>
      <c r="B11" s="2">
        <v>2179288.6189999999</v>
      </c>
      <c r="C11" s="2" t="s">
        <v>34</v>
      </c>
      <c r="D11" s="2" t="s">
        <v>27</v>
      </c>
      <c r="E11" s="2">
        <v>19.545670000000001</v>
      </c>
      <c r="F11" s="2">
        <v>-154.99773999999999</v>
      </c>
      <c r="G11" s="2">
        <v>157.90654509999999</v>
      </c>
      <c r="H11" s="2">
        <f>G11*3.28084</f>
        <v>518.06610942588395</v>
      </c>
      <c r="I11" s="2">
        <v>143.00800000000001</v>
      </c>
      <c r="J11" s="2">
        <v>2</v>
      </c>
      <c r="K11" s="2">
        <v>475</v>
      </c>
      <c r="L11" s="2" t="s">
        <v>6</v>
      </c>
    </row>
    <row r="12" spans="1:12">
      <c r="A12" s="3">
        <v>255803.42300000001</v>
      </c>
      <c r="B12" s="3">
        <v>2177516.8029999998</v>
      </c>
      <c r="C12" s="3" t="s">
        <v>34</v>
      </c>
      <c r="D12" s="2" t="s">
        <v>28</v>
      </c>
      <c r="E12" s="2">
        <v>19.905335999999998</v>
      </c>
      <c r="F12" s="2">
        <v>-155.19492399999999</v>
      </c>
      <c r="G12" s="2">
        <v>537.31715928102301</v>
      </c>
      <c r="H12" s="2">
        <f>G12*3.28084</f>
        <v>1762.8516288555516</v>
      </c>
      <c r="I12" s="2">
        <v>210.06200000000001</v>
      </c>
      <c r="J12" s="2">
        <v>9</v>
      </c>
      <c r="K12" s="2">
        <v>95000</v>
      </c>
      <c r="L12" s="2" t="s">
        <v>14</v>
      </c>
    </row>
    <row r="13" spans="1:12">
      <c r="A13" s="2">
        <v>199640.45199999999</v>
      </c>
      <c r="B13" s="2">
        <v>2138317.3420000002</v>
      </c>
      <c r="C13" s="2" t="s">
        <v>34</v>
      </c>
      <c r="D13" s="2" t="s">
        <v>29</v>
      </c>
      <c r="E13" s="2">
        <v>19.694877000000002</v>
      </c>
      <c r="F13" s="2">
        <v>-155.25748100000001</v>
      </c>
      <c r="G13" s="2">
        <v>1041.0659714034</v>
      </c>
      <c r="H13" s="2">
        <f>G13*3.28084</f>
        <v>3415.5708816191309</v>
      </c>
      <c r="I13" s="2">
        <v>241.846</v>
      </c>
      <c r="J13" s="2">
        <v>1</v>
      </c>
      <c r="K13" s="2">
        <v>100</v>
      </c>
      <c r="L13" s="2" t="s">
        <v>5</v>
      </c>
    </row>
    <row r="14" spans="1:12">
      <c r="A14" s="2">
        <v>270464.93099999998</v>
      </c>
      <c r="B14" s="2">
        <v>2138472.4980000001</v>
      </c>
      <c r="C14" s="2" t="s">
        <v>34</v>
      </c>
      <c r="D14" s="2" t="s">
        <v>2</v>
      </c>
      <c r="E14" s="2">
        <v>19.677956999999999</v>
      </c>
      <c r="F14" s="2">
        <v>-155.32925800000001</v>
      </c>
      <c r="G14" s="3">
        <v>1490.8619329999999</v>
      </c>
      <c r="H14" s="2">
        <f>G14*3.28084</f>
        <v>4891.27946426372</v>
      </c>
      <c r="I14" s="2">
        <v>110.43300000000001</v>
      </c>
      <c r="J14" s="2">
        <v>1</v>
      </c>
      <c r="K14" s="2">
        <v>100</v>
      </c>
      <c r="L14" s="2" t="s">
        <v>5</v>
      </c>
    </row>
    <row r="15" spans="1:12">
      <c r="A15" s="2">
        <v>241499.34</v>
      </c>
      <c r="B15" s="2">
        <v>2178737.861</v>
      </c>
      <c r="C15" s="2" t="s">
        <v>34</v>
      </c>
      <c r="D15" s="2" t="s">
        <v>30</v>
      </c>
      <c r="E15" s="2">
        <v>19.687161</v>
      </c>
      <c r="F15" s="2">
        <v>-155.46577400000001</v>
      </c>
      <c r="G15" s="3">
        <v>2035.7027559999999</v>
      </c>
      <c r="H15" s="2">
        <f>G15*3.28084</f>
        <v>6678.8150299950394</v>
      </c>
      <c r="I15" s="2">
        <v>40.631999999999998</v>
      </c>
      <c r="J15" s="2">
        <v>7</v>
      </c>
      <c r="K15" s="2">
        <v>20000</v>
      </c>
      <c r="L15" s="2" t="s">
        <v>16</v>
      </c>
    </row>
    <row r="16" spans="1:12">
      <c r="A16" s="2">
        <v>241873.86900000001</v>
      </c>
      <c r="B16" s="2">
        <v>2139424.4240000001</v>
      </c>
      <c r="C16" s="2" t="s">
        <v>34</v>
      </c>
      <c r="D16" s="2" t="s">
        <v>31</v>
      </c>
      <c r="E16" s="2">
        <v>19.414151</v>
      </c>
      <c r="F16" s="2">
        <v>-155.237235</v>
      </c>
      <c r="G16" s="2">
        <v>1200.1803782208201</v>
      </c>
      <c r="H16" s="2">
        <f>G16*3.28084</f>
        <v>3937.5997920819955</v>
      </c>
      <c r="I16" s="2">
        <v>108.63</v>
      </c>
      <c r="J16" s="2">
        <v>2</v>
      </c>
      <c r="K16" s="2">
        <v>475</v>
      </c>
      <c r="L16" s="2" t="s">
        <v>6</v>
      </c>
    </row>
    <row r="17" spans="1:12">
      <c r="A17" s="2">
        <v>290399.777</v>
      </c>
      <c r="B17" s="2">
        <v>2162429.2680000002</v>
      </c>
      <c r="C17" s="2" t="s">
        <v>34</v>
      </c>
      <c r="D17" s="2" t="s">
        <v>32</v>
      </c>
      <c r="E17" s="2">
        <v>19.413277999999998</v>
      </c>
      <c r="F17" s="2">
        <v>-155.23754199999999</v>
      </c>
      <c r="G17" s="2">
        <v>1206.6938398201701</v>
      </c>
      <c r="H17" s="2">
        <f>G17*3.28084</f>
        <v>3958.9694174356068</v>
      </c>
      <c r="I17" s="2">
        <v>107.613</v>
      </c>
      <c r="J17" s="2">
        <v>2</v>
      </c>
      <c r="K17" s="2">
        <v>475</v>
      </c>
      <c r="L17" s="2" t="s">
        <v>6</v>
      </c>
    </row>
    <row r="18" spans="1:12">
      <c r="A18" s="4">
        <v>-187959.78099999999</v>
      </c>
      <c r="B18" s="4">
        <v>2462397.7590000001</v>
      </c>
      <c r="C18" s="4" t="s">
        <v>35</v>
      </c>
      <c r="D18" s="4" t="s">
        <v>36</v>
      </c>
      <c r="E18" s="4">
        <v>22.130645000000001</v>
      </c>
      <c r="F18" s="4">
        <v>-159.66022699999999</v>
      </c>
      <c r="G18" s="4">
        <v>1127.46349802445</v>
      </c>
      <c r="H18" s="4">
        <f>G18*3.28084</f>
        <v>3699.0273428585365</v>
      </c>
      <c r="I18" s="4">
        <v>59.857999999999997</v>
      </c>
      <c r="J18" s="4">
        <v>14</v>
      </c>
      <c r="K18" s="4">
        <v>5000000</v>
      </c>
      <c r="L18" s="4" t="s">
        <v>47</v>
      </c>
    </row>
    <row r="19" spans="1:12">
      <c r="A19" s="4">
        <v>-162478.26800000001</v>
      </c>
      <c r="B19" s="4">
        <v>2456900.6860000002</v>
      </c>
      <c r="C19" s="4" t="s">
        <v>35</v>
      </c>
      <c r="D19" s="4" t="s">
        <v>37</v>
      </c>
      <c r="E19" s="4">
        <v>22.091170999999999</v>
      </c>
      <c r="F19" s="4">
        <v>-159.41250099999999</v>
      </c>
      <c r="G19" s="4">
        <v>329.45177404324397</v>
      </c>
      <c r="H19" s="4">
        <f>G19*3.28084</f>
        <v>1080.8785583520366</v>
      </c>
      <c r="I19" s="4">
        <v>116.84099999999999</v>
      </c>
      <c r="J19" s="4">
        <v>12</v>
      </c>
      <c r="K19" s="4">
        <v>1500000</v>
      </c>
      <c r="L19" s="4" t="s">
        <v>48</v>
      </c>
    </row>
    <row r="20" spans="1:12">
      <c r="A20" s="4">
        <v>-178628.16699999999</v>
      </c>
      <c r="B20" s="4">
        <v>2471691.7719999999</v>
      </c>
      <c r="C20" s="4" t="s">
        <v>35</v>
      </c>
      <c r="D20" s="4" t="s">
        <v>49</v>
      </c>
      <c r="E20" s="4">
        <v>22.217715999999999</v>
      </c>
      <c r="F20" s="4">
        <v>-159.57423900000001</v>
      </c>
      <c r="G20" s="4">
        <v>145.37334768384801</v>
      </c>
      <c r="H20" s="4">
        <f>G20*3.28084</f>
        <v>476.94669401507588</v>
      </c>
      <c r="I20" s="4">
        <v>101.53</v>
      </c>
      <c r="J20" s="4">
        <v>14</v>
      </c>
      <c r="K20" s="4">
        <v>5000000</v>
      </c>
      <c r="L20" s="4" t="s">
        <v>47</v>
      </c>
    </row>
    <row r="21" spans="1:12">
      <c r="A21" s="4">
        <v>-169009.84400000001</v>
      </c>
      <c r="B21" s="4">
        <v>2467806.477</v>
      </c>
      <c r="C21" s="4" t="s">
        <v>35</v>
      </c>
      <c r="D21" s="4" t="s">
        <v>38</v>
      </c>
      <c r="E21" s="4">
        <v>22.186575999999999</v>
      </c>
      <c r="F21" s="4">
        <v>-159.47991200000001</v>
      </c>
      <c r="G21" s="4">
        <v>358.16338957972499</v>
      </c>
      <c r="H21" s="4">
        <f>G21*3.28084</f>
        <v>1175.0767750687448</v>
      </c>
      <c r="I21" s="4">
        <v>96.762</v>
      </c>
      <c r="J21" s="4">
        <v>14</v>
      </c>
      <c r="K21" s="4">
        <v>5000000</v>
      </c>
      <c r="L21" s="4" t="s">
        <v>47</v>
      </c>
    </row>
    <row r="22" spans="1:12">
      <c r="A22" s="4">
        <v>-184409.894</v>
      </c>
      <c r="B22" s="4">
        <v>2464190.392</v>
      </c>
      <c r="C22" s="4" t="s">
        <v>35</v>
      </c>
      <c r="D22" s="4" t="s">
        <v>39</v>
      </c>
      <c r="E22" s="4">
        <v>22.148129999999998</v>
      </c>
      <c r="F22" s="4">
        <v>-159.62679199999999</v>
      </c>
      <c r="G22" s="4">
        <v>1225.7626469812401</v>
      </c>
      <c r="H22" s="4">
        <f>G22*3.28084</f>
        <v>4021.5311227219318</v>
      </c>
      <c r="I22" s="4">
        <v>85.948999999999998</v>
      </c>
      <c r="J22" s="4">
        <v>14</v>
      </c>
      <c r="K22" s="4">
        <v>5000000</v>
      </c>
      <c r="L22" s="4" t="s">
        <v>47</v>
      </c>
    </row>
    <row r="23" spans="1:12">
      <c r="A23" s="5">
        <v>163790.93799999999</v>
      </c>
      <c r="B23" s="5">
        <v>2301144.94</v>
      </c>
      <c r="C23" s="5" t="s">
        <v>40</v>
      </c>
      <c r="D23" s="5" t="s">
        <v>41</v>
      </c>
      <c r="E23" s="5">
        <v>20.779831999999999</v>
      </c>
      <c r="F23" s="5">
        <v>-156.22899200000001</v>
      </c>
      <c r="G23" s="5">
        <v>1867.2774944722901</v>
      </c>
      <c r="H23" s="5">
        <f>G23*3.28084</f>
        <v>6126.2386949644679</v>
      </c>
      <c r="I23" s="5">
        <v>90.034000000000006</v>
      </c>
      <c r="J23" s="5">
        <v>10</v>
      </c>
      <c r="K23" s="5">
        <v>460000</v>
      </c>
      <c r="L23" s="5" t="s">
        <v>13</v>
      </c>
    </row>
    <row r="24" spans="1:12">
      <c r="A24" s="5">
        <v>158855.57800000001</v>
      </c>
      <c r="B24" s="5">
        <v>2306500.1850000001</v>
      </c>
      <c r="C24" s="5" t="s">
        <v>40</v>
      </c>
      <c r="D24" s="5" t="s">
        <v>42</v>
      </c>
      <c r="E24" s="5">
        <v>20.827244</v>
      </c>
      <c r="F24" s="5">
        <v>-156.277379</v>
      </c>
      <c r="G24" s="5">
        <v>880.91174451034703</v>
      </c>
      <c r="H24" s="5">
        <f>G24*3.28084</f>
        <v>2890.1304878593269</v>
      </c>
      <c r="I24" s="5">
        <v>118.99</v>
      </c>
      <c r="J24" s="5">
        <v>10</v>
      </c>
      <c r="K24" s="5">
        <v>460000</v>
      </c>
      <c r="L24" s="5" t="s">
        <v>13</v>
      </c>
    </row>
    <row r="25" spans="1:12">
      <c r="A25" s="5">
        <v>157279.427</v>
      </c>
      <c r="B25" s="5">
        <v>2295488.9010000001</v>
      </c>
      <c r="C25" s="5" t="s">
        <v>40</v>
      </c>
      <c r="D25" s="5" t="s">
        <v>43</v>
      </c>
      <c r="E25" s="5">
        <v>20.727622</v>
      </c>
      <c r="F25" s="5">
        <v>-156.290347</v>
      </c>
      <c r="G25" s="5">
        <v>1895.7322789355601</v>
      </c>
      <c r="H25" s="5">
        <f>G25*3.28084</f>
        <v>6219.5942900229429</v>
      </c>
      <c r="I25" s="5">
        <v>35.981999999999999</v>
      </c>
      <c r="J25" s="5">
        <v>10</v>
      </c>
      <c r="K25" s="5">
        <v>460000</v>
      </c>
      <c r="L25" s="5" t="s">
        <v>13</v>
      </c>
    </row>
    <row r="26" spans="1:12">
      <c r="A26" s="5">
        <v>161246.85399999999</v>
      </c>
      <c r="B26" s="5">
        <v>2303482.3849999998</v>
      </c>
      <c r="C26" s="5" t="s">
        <v>40</v>
      </c>
      <c r="D26" s="5" t="s">
        <v>44</v>
      </c>
      <c r="E26" s="5">
        <v>20.800457999999999</v>
      </c>
      <c r="F26" s="5">
        <v>-156.253849</v>
      </c>
      <c r="G26" s="5">
        <v>1415.4139690775301</v>
      </c>
      <c r="H26" s="5">
        <f>G26*3.28084</f>
        <v>4643.7467663083235</v>
      </c>
      <c r="I26" s="5">
        <v>99.662000000000006</v>
      </c>
      <c r="J26" s="5">
        <v>10</v>
      </c>
      <c r="K26" s="5">
        <v>460000</v>
      </c>
      <c r="L26" s="5" t="s">
        <v>13</v>
      </c>
    </row>
    <row r="27" spans="1:12">
      <c r="A27" s="5">
        <v>131162.003</v>
      </c>
      <c r="B27" s="5">
        <v>2320425.466</v>
      </c>
      <c r="C27" s="5" t="s">
        <v>40</v>
      </c>
      <c r="D27" s="5" t="s">
        <v>45</v>
      </c>
      <c r="E27" s="5">
        <v>20.947535999999999</v>
      </c>
      <c r="F27" s="5">
        <v>-156.54601299999999</v>
      </c>
      <c r="G27" s="5">
        <v>641.39793698212895</v>
      </c>
      <c r="H27" s="5">
        <f>G27*3.28084</f>
        <v>2104.324007568448</v>
      </c>
      <c r="I27" s="5">
        <v>82.399000000000001</v>
      </c>
      <c r="J27" s="5">
        <v>12</v>
      </c>
      <c r="K27" s="5">
        <v>1500000</v>
      </c>
      <c r="L27" s="5" t="s">
        <v>48</v>
      </c>
    </row>
    <row r="28" spans="1:12">
      <c r="A28" s="6">
        <v>-6260.7169999999996</v>
      </c>
      <c r="B28" s="6">
        <v>2375002.3319999999</v>
      </c>
      <c r="C28" s="6" t="s">
        <v>50</v>
      </c>
      <c r="D28" s="6" t="s">
        <v>57</v>
      </c>
      <c r="E28" s="6">
        <v>21.406344000000001</v>
      </c>
      <c r="F28" s="6">
        <v>-157.88020599999999</v>
      </c>
      <c r="G28" s="6">
        <v>465.66637835815902</v>
      </c>
      <c r="H28" s="6">
        <f>G28*3.28084</f>
        <v>1527.7768807725824</v>
      </c>
      <c r="I28" s="6">
        <v>117.05</v>
      </c>
      <c r="J28" s="6">
        <v>13</v>
      </c>
      <c r="K28" s="6">
        <v>3000000</v>
      </c>
      <c r="L28" s="6" t="s">
        <v>54</v>
      </c>
    </row>
    <row r="29" spans="1:12">
      <c r="A29" s="6">
        <v>7693.0420000000004</v>
      </c>
      <c r="B29" s="6">
        <v>2364600.36</v>
      </c>
      <c r="C29" s="6" t="s">
        <v>50</v>
      </c>
      <c r="D29" s="6" t="s">
        <v>51</v>
      </c>
      <c r="E29" s="6">
        <v>21.316545000000001</v>
      </c>
      <c r="F29" s="6">
        <v>-157.74302800000001</v>
      </c>
      <c r="G29" s="6">
        <v>464.79471999999998</v>
      </c>
      <c r="H29" s="6">
        <f>G29*3.28084</f>
        <v>1524.9171091648</v>
      </c>
      <c r="I29" s="6">
        <v>76.251000000000005</v>
      </c>
      <c r="J29" s="6">
        <v>13</v>
      </c>
      <c r="K29" s="6">
        <v>3000000</v>
      </c>
      <c r="L29" s="6" t="s">
        <v>54</v>
      </c>
    </row>
    <row r="30" spans="1:12">
      <c r="A30" s="6">
        <v>-38390.788999999997</v>
      </c>
      <c r="B30" s="6">
        <v>2390504.3029999998</v>
      </c>
      <c r="C30" s="6" t="s">
        <v>50</v>
      </c>
      <c r="D30" s="6" t="s">
        <v>52</v>
      </c>
      <c r="E30" s="6">
        <v>21.536532999999999</v>
      </c>
      <c r="F30" s="6">
        <v>-158.19395</v>
      </c>
      <c r="G30" s="6">
        <v>684.57781982421795</v>
      </c>
      <c r="H30" s="6">
        <f>G30*3.28084</f>
        <v>2245.9902943920874</v>
      </c>
      <c r="I30" s="6">
        <v>54.904000000000003</v>
      </c>
      <c r="J30" s="6">
        <v>13</v>
      </c>
      <c r="K30" s="6">
        <v>3000000</v>
      </c>
      <c r="L30" s="6" t="s">
        <v>54</v>
      </c>
    </row>
    <row r="31" spans="1:12">
      <c r="A31" s="6">
        <v>4009.596</v>
      </c>
      <c r="B31" s="6">
        <v>2368386.753</v>
      </c>
      <c r="C31" s="6" t="s">
        <v>50</v>
      </c>
      <c r="D31" s="6" t="s">
        <v>58</v>
      </c>
      <c r="E31" s="6">
        <v>21.349632</v>
      </c>
      <c r="F31" s="6">
        <v>-157.779529</v>
      </c>
      <c r="G31" s="6">
        <v>240.69883528174199</v>
      </c>
      <c r="H31" s="6">
        <f>G31*3.28084</f>
        <v>789.69436674575036</v>
      </c>
      <c r="I31" s="6">
        <v>101.68</v>
      </c>
      <c r="J31" s="6">
        <v>13</v>
      </c>
      <c r="K31" s="6">
        <v>3000000</v>
      </c>
      <c r="L31" s="6" t="s">
        <v>54</v>
      </c>
    </row>
    <row r="32" spans="1:12">
      <c r="A32" s="6">
        <v>-29183.548999999999</v>
      </c>
      <c r="B32" s="6">
        <v>2376493.4849999999</v>
      </c>
      <c r="C32" s="6" t="s">
        <v>50</v>
      </c>
      <c r="D32" s="6" t="s">
        <v>56</v>
      </c>
      <c r="E32" s="6">
        <v>21.413188999999999</v>
      </c>
      <c r="F32" s="6">
        <v>-158.10099199999999</v>
      </c>
      <c r="G32" s="6">
        <v>915.08373516028905</v>
      </c>
      <c r="H32" s="6">
        <f>G32*3.28084</f>
        <v>3002.2433216632826</v>
      </c>
      <c r="I32" s="6">
        <v>45.65</v>
      </c>
      <c r="J32" s="6">
        <v>13</v>
      </c>
      <c r="K32" s="6">
        <v>3000000</v>
      </c>
      <c r="L32" s="6" t="s">
        <v>54</v>
      </c>
    </row>
    <row r="33" spans="1:12">
      <c r="A33" s="6">
        <v>-10932.009</v>
      </c>
      <c r="B33" s="6">
        <v>2389262.6570000001</v>
      </c>
      <c r="C33" s="6" t="s">
        <v>50</v>
      </c>
      <c r="D33" s="6" t="s">
        <v>55</v>
      </c>
      <c r="E33" s="6">
        <v>21.533393</v>
      </c>
      <c r="F33" s="6">
        <v>-157.92943700000001</v>
      </c>
      <c r="G33" s="6">
        <v>660.92463731049997</v>
      </c>
      <c r="H33" s="6">
        <f>G33*3.28084</f>
        <v>2168.3879870737806</v>
      </c>
      <c r="I33" s="6">
        <v>216.23</v>
      </c>
      <c r="J33" s="6">
        <v>13</v>
      </c>
      <c r="K33" s="6">
        <v>3000000</v>
      </c>
      <c r="L33" s="6" t="s">
        <v>54</v>
      </c>
    </row>
    <row r="34" spans="1:12">
      <c r="A34" s="6">
        <v>-19685.357</v>
      </c>
      <c r="B34" s="6">
        <v>2399542.39</v>
      </c>
      <c r="C34" s="6" t="s">
        <v>50</v>
      </c>
      <c r="D34" s="6" t="s">
        <v>53</v>
      </c>
      <c r="E34" s="6">
        <v>21.623398000000002</v>
      </c>
      <c r="F34" s="6">
        <v>-158.01683800000001</v>
      </c>
      <c r="G34" s="6">
        <v>254.53146699999999</v>
      </c>
      <c r="H34" s="6">
        <f>G34*3.28084</f>
        <v>835.07701819227998</v>
      </c>
      <c r="I34" s="6">
        <v>77.623000000000005</v>
      </c>
      <c r="J34" s="6">
        <v>13</v>
      </c>
      <c r="K34" s="6">
        <v>3000000</v>
      </c>
      <c r="L34" s="6" t="s">
        <v>54</v>
      </c>
    </row>
  </sheetData>
  <sortState ref="A2:L34">
    <sortCondition ref="C2:C34"/>
    <sortCondition ref="D2:D34"/>
  </sortState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S7" sqref="S7"/>
    </sheetView>
  </sheetViews>
  <sheetFormatPr defaultRowHeight="15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8" sqref="O8"/>
    </sheetView>
  </sheetViews>
  <sheetFormatPr defaultRowHeight="15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9" sqref="N9"/>
    </sheetView>
  </sheetViews>
  <sheetFormatPr defaultRowHeight="15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6" sqref="M6"/>
    </sheetView>
  </sheetViews>
  <sheetFormatPr defaultRowHeight="15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U8" sqref="U8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Ohia Sites</vt:lpstr>
      <vt:lpstr>Big Island plots</vt:lpstr>
      <vt:lpstr>Kauai plots</vt:lpstr>
      <vt:lpstr>Maui plots</vt:lpstr>
      <vt:lpstr>Oahu plots</vt:lpstr>
      <vt:lpstr>Statewide plots</vt:lpstr>
    </vt:vector>
  </TitlesOfParts>
  <Company>Washington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Knight</dc:creator>
  <cp:lastModifiedBy>John Maurer</cp:lastModifiedBy>
  <dcterms:created xsi:type="dcterms:W3CDTF">2014-01-27T17:13:45Z</dcterms:created>
  <dcterms:modified xsi:type="dcterms:W3CDTF">2015-12-18T01:06:47Z</dcterms:modified>
</cp:coreProperties>
</file>